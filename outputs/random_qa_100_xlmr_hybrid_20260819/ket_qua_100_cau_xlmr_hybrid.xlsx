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ết quả QA" sheetId="1" state="visible" r:id="rId1"/>
    <sheet name="Chi tiết kỹ thuật" sheetId="2" state="visible" r:id="rId2"/>
  </sheets>
  <definedNames>
    <definedName name="_xlnm._FilterDatabase" localSheetId="0" hidden="1">'Kết quả QA'!$A$8:$H$108</definedName>
    <definedName name="_xlnm.Print_Titles" localSheetId="0">'Kết quả QA'!$8:$8</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Aptos Display"/>
      <b val="1"/>
      <color rgb="00FFFFFF"/>
      <sz val="18"/>
    </font>
    <font>
      <name val="Aptos"/>
      <i val="1"/>
      <color rgb="00667085"/>
      <sz val="10"/>
    </font>
    <font>
      <name val="Aptos"/>
      <b val="1"/>
      <color rgb="00243447"/>
      <sz val="9"/>
    </font>
    <font>
      <name val="Aptos Display"/>
      <b val="1"/>
      <color rgb="00243447"/>
      <sz val="16"/>
    </font>
    <font>
      <name val="Aptos"/>
      <i val="1"/>
      <color rgb="00667085"/>
      <sz val="9"/>
    </font>
    <font>
      <name val="Aptos"/>
      <b val="1"/>
      <color rgb="00FFFFFF"/>
      <sz val="10"/>
    </font>
    <font>
      <name val="Aptos"/>
      <color rgb="00243447"/>
      <sz val="10"/>
    </font>
    <font>
      <name val="Segoe UI Symbol"/>
      <b val="1"/>
      <color rgb="00217346"/>
      <sz val="14"/>
    </font>
    <font>
      <name val="Segoe UI Symbol"/>
      <b val="1"/>
      <color rgb="00C00000"/>
      <sz val="14"/>
    </font>
    <font>
      <name val="Aptos"/>
      <color rgb="00243447"/>
      <sz val="9"/>
    </font>
  </fonts>
  <fills count="9">
    <fill>
      <patternFill/>
    </fill>
    <fill>
      <patternFill patternType="gray125"/>
    </fill>
    <fill>
      <patternFill patternType="solid">
        <fgColor rgb="0017365D"/>
      </patternFill>
    </fill>
    <fill>
      <patternFill patternType="solid">
        <fgColor rgb="00EAF3F8"/>
      </patternFill>
    </fill>
    <fill>
      <patternFill patternType="solid">
        <fgColor rgb="00D9EAF7"/>
      </patternFill>
    </fill>
    <fill>
      <patternFill patternType="solid">
        <fgColor rgb="00E2F0D9"/>
      </patternFill>
    </fill>
    <fill>
      <patternFill patternType="solid">
        <fgColor rgb="00FCE4D6"/>
      </patternFill>
    </fill>
    <fill>
      <patternFill patternType="solid">
        <fgColor rgb="00FFF2CC"/>
      </patternFill>
    </fill>
    <fill>
      <patternFill patternType="solid">
        <fgColor rgb="001F4E78"/>
      </patternFill>
    </fill>
  </fills>
  <borders count="2">
    <border>
      <left/>
      <right/>
      <top/>
      <bottom/>
      <diagonal/>
    </border>
    <border>
      <bottom style="thin">
        <color rgb="00D8E2EA"/>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0" applyAlignment="1" pivotButton="0" quotePrefix="0" xfId="0">
      <alignment horizontal="center" vertical="center"/>
    </xf>
    <xf numFmtId="0" fontId="0" fillId="4" borderId="0" applyAlignment="1" pivotButton="0" quotePrefix="0" xfId="0">
      <alignment horizontal="center" vertical="center"/>
    </xf>
    <xf numFmtId="0" fontId="3" fillId="5" borderId="0" applyAlignment="1" pivotButton="0" quotePrefix="0" xfId="0">
      <alignment horizontal="center" vertical="center"/>
    </xf>
    <xf numFmtId="0" fontId="0" fillId="5" borderId="0" applyAlignment="1" pivotButton="0" quotePrefix="0" xfId="0">
      <alignment horizontal="center" vertical="center"/>
    </xf>
    <xf numFmtId="0" fontId="3" fillId="6" borderId="0" applyAlignment="1" pivotButton="0" quotePrefix="0" xfId="0">
      <alignment horizontal="center" vertical="center"/>
    </xf>
    <xf numFmtId="0" fontId="0" fillId="6" borderId="0" applyAlignment="1" pivotButton="0" quotePrefix="0" xfId="0">
      <alignment horizontal="center" vertical="center"/>
    </xf>
    <xf numFmtId="0" fontId="3" fillId="7" borderId="0" applyAlignment="1" pivotButton="0" quotePrefix="0" xfId="0">
      <alignment horizontal="center" vertical="center"/>
    </xf>
    <xf numFmtId="0" fontId="0" fillId="7"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164" fontId="4" fillId="7" borderId="0" applyAlignment="1" pivotButton="0" quotePrefix="0" xfId="0">
      <alignment horizontal="center" vertical="center"/>
    </xf>
    <xf numFmtId="0" fontId="5" fillId="0" borderId="0" applyAlignment="1" pivotButton="0" quotePrefix="0" xfId="0">
      <alignment horizontal="left" vertical="center" wrapText="1"/>
    </xf>
    <xf numFmtId="0" fontId="6" fillId="8" borderId="0" applyAlignment="1" pivotButton="0" quotePrefix="0" xfId="0">
      <alignment horizontal="center" vertical="center" wrapText="1"/>
    </xf>
    <xf numFmtId="0" fontId="7" fillId="0" borderId="1" applyAlignment="1" pivotButton="0" quotePrefix="0" xfId="0">
      <alignment horizontal="center" vertical="top"/>
    </xf>
    <xf numFmtId="0" fontId="7" fillId="0" borderId="1" applyAlignment="1" pivotButton="0" quotePrefix="0" xfId="0">
      <alignment horizontal="left" vertical="top" wrapText="1"/>
    </xf>
    <xf numFmtId="0" fontId="8" fillId="0" borderId="1" applyAlignment="1" pivotButton="0" quotePrefix="0" xfId="0">
      <alignment horizontal="center" vertical="top"/>
    </xf>
    <xf numFmtId="164" fontId="7" fillId="0" borderId="1" applyAlignment="1" pivotButton="0" quotePrefix="0" xfId="0">
      <alignment horizontal="center" vertical="top"/>
    </xf>
    <xf numFmtId="0" fontId="9" fillId="0" borderId="1" applyAlignment="1" pivotButton="0" quotePrefix="0" xfId="0">
      <alignment horizontal="center" vertical="top"/>
    </xf>
    <xf numFmtId="0" fontId="10" fillId="0" borderId="1" applyAlignment="1" pivotButton="0" quotePrefix="0" xfId="0">
      <alignment vertical="top"/>
    </xf>
    <xf numFmtId="0" fontId="10" fillId="0" borderId="1" applyAlignment="1" pivotButton="0" quotePrefix="0" xfId="0">
      <alignment vertical="top" wrapText="1"/>
    </xf>
    <xf numFmtId="164" fontId="10" fillId="0" borderId="1" applyAlignment="1" pivotButton="0" quotePrefix="0" xfId="0">
      <alignment vertical="top"/>
    </xf>
    <xf numFmtId="165" fontId="10" fillId="0" borderId="1" applyAlignment="1" pivotButton="0" quotePrefix="0" xfId="0">
      <alignment vertical="top"/>
    </xf>
    <xf numFmtId="3" fontId="10" fillId="0" borderId="1" applyAlignment="1" pivotButton="0" quotePrefix="0" xfId="0">
      <alignment vertical="top"/>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KetQuaQA100" displayName="KetQuaQA100" ref="A8:H108" headerRowCount="1">
  <autoFilter ref="A8:H108"/>
  <tableColumns count="8">
    <tableColumn id="1" name="STT"/>
    <tableColumn id="2" name="Mã câu"/>
    <tableColumn id="3" name="Câu hỏi"/>
    <tableColumn id="4" name="Đáp án hệ thống"/>
    <tableColumn id="5" name="Đáp án chuẩn"/>
    <tableColumn id="6" name="Đúng?"/>
    <tableColumn id="7" name="F1"/>
    <tableColumn id="8" name="Ghi chú"/>
  </tableColumns>
  <tableStyleInfo name="TableStyleMedium2" showFirstColumn="0" showLastColumn="0" showRowStripes="1" showColumnStripes="0"/>
</table>
</file>

<file path=xl/tables/table2.xml><?xml version="1.0" encoding="utf-8"?>
<table xmlns="http://schemas.openxmlformats.org/spreadsheetml/2006/main" id="2" name="ChiTietQA100" displayName="ChiTietQA100" ref="A1:R101" headerRowCount="1">
  <autoFilter ref="A1:R101"/>
  <tableColumns count="18">
    <tableColumn id="1" name="STT"/>
    <tableColumn id="2" name="ID"/>
    <tableColumn id="3" name="Câu hỏi"/>
    <tableColumn id="4" name="Đáp án chuẩn"/>
    <tableColumn id="5" name="Đáp án hệ thống"/>
    <tableColumn id="6" name="Exact Match"/>
    <tableColumn id="7" name="F1"/>
    <tableColumn id="8" name="Có đáp án"/>
    <tableColumn id="9" name="Loại câu hỏi"/>
    <tableColumn id="10" name="Phương pháp"/>
    <tableColumn id="11" name="Retrieval hit"/>
    <tableColumn id="12" name="Reader score"/>
    <tableColumn id="13" name="Ranking score"/>
    <tableColumn id="14" name="Answer-type score"/>
    <tableColumn id="15" name="Độ trễ (ms)"/>
    <tableColumn id="16" name="Retriever"/>
    <tableColumn id="17" name="Reader"/>
    <tableColumn id="18" name="Checkpoi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H108"/>
  <sheetViews>
    <sheetView showGridLines="0" zoomScale="85" workbookViewId="0">
      <pane ySplit="8" topLeftCell="A9" activePane="bottomLeft" state="frozen"/>
      <selection pane="bottomLeft" activeCell="A1" sqref="A1"/>
    </sheetView>
  </sheetViews>
  <sheetFormatPr baseColWidth="8" defaultRowHeight="15"/>
  <cols>
    <col width="7" customWidth="1" min="1" max="1"/>
    <col width="18" customWidth="1" min="2" max="2"/>
    <col width="53" customWidth="1" min="3" max="3"/>
    <col width="38" customWidth="1" min="4" max="4"/>
    <col width="38" customWidth="1" min="5" max="5"/>
    <col width="10" customWidth="1" min="6" max="6"/>
    <col width="10" customWidth="1" min="7" max="7"/>
    <col width="31" customWidth="1" min="8" max="8"/>
  </cols>
  <sheetData>
    <row r="1" ht="34" customHeight="1">
      <c r="A1" s="1" t="inlineStr">
        <is>
          <t>KẾT QUẢ CHẠY THỬ 100 CÂU HỎI NGẪU NHIÊN</t>
        </is>
      </c>
    </row>
    <row r="2" ht="34" customHeight="1">
      <c r="A2" s="2" t="inlineStr">
        <is>
          <t>Reader: xlmr (xlm-roberta-large-viquad)  |  Retriever: hybrid  |  Dense: keepitreal/vietnamese-sbert  |  top-k 10  |  Seed: 20260819</t>
        </is>
      </c>
    </row>
    <row r="4" ht="22" customHeight="1">
      <c r="A4" s="3" t="inlineStr">
        <is>
          <t>TỔNG SỐ CÂU</t>
        </is>
      </c>
      <c r="B4" s="4" t="n"/>
      <c r="C4" s="5" t="inlineStr">
        <is>
          <t>ĐÚNG (EXACT MATCH)</t>
        </is>
      </c>
      <c r="D4" s="6" t="n"/>
      <c r="E4" s="7" t="inlineStr">
        <is>
          <t>SAI</t>
        </is>
      </c>
      <c r="F4" s="8" t="n"/>
      <c r="G4" s="9" t="inlineStr">
        <is>
          <t>TỶ LỆ ĐÚNG</t>
        </is>
      </c>
      <c r="H4" s="10" t="n"/>
    </row>
    <row r="5" ht="31" customHeight="1">
      <c r="A5" s="11">
        <f>COUNTA(A9:A108)</f>
        <v/>
      </c>
      <c r="B5" s="4" t="n"/>
      <c r="C5" s="12">
        <f>COUNTIF(F9:F108,"✓")</f>
        <v/>
      </c>
      <c r="D5" s="6" t="n"/>
      <c r="E5" s="13">
        <f>COUNTIF(F9:F108,"✗")</f>
        <v/>
      </c>
      <c r="F5" s="8" t="n"/>
      <c r="G5" s="14">
        <f>C5/A5</f>
        <v/>
      </c>
      <c r="H5" s="10" t="n"/>
    </row>
    <row r="7" ht="30" customHeight="1">
      <c r="A7" s="15" t="inlineStr">
        <is>
          <t>Quy tắc chấm: ĐÚNG khi đáp án hệ thống khớp Exact Match sau chuẩn hóa (không phân biệt hoa/thường, dấu câu và dấu gạch dưới); ngược lại là SAI.</t>
        </is>
      </c>
    </row>
    <row r="8" ht="28" customHeight="1">
      <c r="A8" s="16" t="inlineStr">
        <is>
          <t>STT</t>
        </is>
      </c>
      <c r="B8" s="16" t="inlineStr">
        <is>
          <t>Mã câu</t>
        </is>
      </c>
      <c r="C8" s="16" t="inlineStr">
        <is>
          <t>Câu hỏi</t>
        </is>
      </c>
      <c r="D8" s="16" t="inlineStr">
        <is>
          <t>Đáp án hệ thống</t>
        </is>
      </c>
      <c r="E8" s="16" t="inlineStr">
        <is>
          <t>Đáp án chuẩn</t>
        </is>
      </c>
      <c r="F8" s="16" t="inlineStr">
        <is>
          <t>Đúng?</t>
        </is>
      </c>
      <c r="G8" s="16" t="inlineStr">
        <is>
          <t>F1</t>
        </is>
      </c>
      <c r="H8" s="16" t="inlineStr">
        <is>
          <t>Ghi chú</t>
        </is>
      </c>
    </row>
    <row r="9" ht="30" customHeight="1">
      <c r="A9" s="17" t="n">
        <v>1</v>
      </c>
      <c r="B9" s="17" t="inlineStr">
        <is>
          <t>0009-0029-0005</t>
        </is>
      </c>
      <c r="C9" s="18" t="inlineStr">
        <is>
          <t>Mitterrand muốn duy trì quyền lực của Paris tại lục địa nào?</t>
        </is>
      </c>
      <c r="D9" s="18" t="inlineStr">
        <is>
          <t>châu Phi</t>
        </is>
      </c>
      <c r="E9" s="18" t="inlineStr">
        <is>
          <t>châu Phi</t>
        </is>
      </c>
      <c r="F9" s="19" t="inlineStr">
        <is>
          <t>✓</t>
        </is>
      </c>
      <c r="G9" s="20" t="n">
        <v>1</v>
      </c>
      <c r="H9" s="18" t="inlineStr">
        <is>
          <t>Khớp chính xác</t>
        </is>
      </c>
    </row>
    <row r="10" ht="30" customHeight="1">
      <c r="A10" s="17" t="n">
        <v>2</v>
      </c>
      <c r="B10" s="17" t="inlineStr">
        <is>
          <t>0009-0001-0009</t>
        </is>
      </c>
      <c r="C10" s="18" t="inlineStr">
        <is>
          <t>Bà ngọai được miêu tả như thế nào?</t>
        </is>
      </c>
      <c r="D10" s="18" t="inlineStr">
        <is>
          <t>Gloriana</t>
        </is>
      </c>
      <c r="E10" s="18" t="inlineStr">
        <is>
          <t>một phụ nữ qúy tộc</t>
        </is>
      </c>
      <c r="F10" s="21" t="inlineStr">
        <is>
          <t>✗</t>
        </is>
      </c>
      <c r="G10" s="20" t="n">
        <v>0</v>
      </c>
      <c r="H10" s="18" t="inlineStr">
        <is>
          <t>Không khớp đáp án chuẩn</t>
        </is>
      </c>
    </row>
    <row r="11" ht="38" customHeight="1">
      <c r="A11" s="17" t="n">
        <v>3</v>
      </c>
      <c r="B11" s="17" t="inlineStr">
        <is>
          <t>0011-0008-0008</t>
        </is>
      </c>
      <c r="C11" s="18" t="inlineStr">
        <is>
          <t>Sự tranh luận về thần học Trung cổ song hành với thần học Ki-tô giáo được gọi là gì?</t>
        </is>
      </c>
      <c r="D11" s="18" t="inlineStr">
        <is>
          <t>tranh luận hợp lý. Thần học</t>
        </is>
      </c>
      <c r="E11" s="18" t="inlineStr"/>
      <c r="F11" s="21" t="inlineStr">
        <is>
          <t>✗</t>
        </is>
      </c>
      <c r="G11" s="20" t="n">
        <v>0</v>
      </c>
      <c r="H11" s="18" t="inlineStr">
        <is>
          <t>Trả lời khi câu không có đáp án</t>
        </is>
      </c>
    </row>
    <row r="12" ht="38" customHeight="1">
      <c r="A12" s="17" t="n">
        <v>4</v>
      </c>
      <c r="B12" s="17" t="inlineStr">
        <is>
          <t>0013-0003-0003</t>
        </is>
      </c>
      <c r="C12" s="18" t="inlineStr">
        <is>
          <t>Chính sách của nhà thờ nước Anh được ông William Laud áp dụng cho những nơi nào?</t>
        </is>
      </c>
      <c r="D12" s="18" t="inlineStr">
        <is>
          <t>tòan thể nước Anh và Scotland</t>
        </is>
      </c>
      <c r="E12" s="18" t="inlineStr">
        <is>
          <t>tòan thể nước Anh và Scotland</t>
        </is>
      </c>
      <c r="F12" s="19" t="inlineStr">
        <is>
          <t>✓</t>
        </is>
      </c>
      <c r="G12" s="20" t="n">
        <v>1</v>
      </c>
      <c r="H12" s="18" t="inlineStr">
        <is>
          <t>Khớp chính xác</t>
        </is>
      </c>
    </row>
    <row r="13" ht="30" customHeight="1">
      <c r="A13" s="17" t="n">
        <v>5</v>
      </c>
      <c r="B13" s="17" t="inlineStr">
        <is>
          <t>0002-0021-0006</t>
        </is>
      </c>
      <c r="C13" s="18" t="inlineStr">
        <is>
          <t>Houp được tạo ra nhằm kỷ niệm sự kiện gì?</t>
        </is>
      </c>
      <c r="D13" s="18" t="inlineStr">
        <is>
          <t>Con gái của Hawking, Lucy chào đời năm 1970</t>
        </is>
      </c>
      <c r="E13" s="18" t="inlineStr"/>
      <c r="F13" s="21" t="inlineStr">
        <is>
          <t>✗</t>
        </is>
      </c>
      <c r="G13" s="20" t="n">
        <v>0</v>
      </c>
      <c r="H13" s="18" t="inlineStr">
        <is>
          <t>Trả lời khi câu không có đáp án</t>
        </is>
      </c>
    </row>
    <row r="14" ht="38" customHeight="1">
      <c r="A14" s="17" t="n">
        <v>6</v>
      </c>
      <c r="B14" s="17" t="inlineStr">
        <is>
          <t>0004-0042-0001</t>
        </is>
      </c>
      <c r="C14" s="18" t="inlineStr">
        <is>
          <t>Theo số liệu của UNICEF, số lượng người Iraq thiệt mạng mỗi năm tăng thêm bao nhiêu vì lệnh trừng phạt kinh tế?</t>
        </is>
      </c>
      <c r="D14" s="18" t="inlineStr">
        <is>
          <t>90.000 người</t>
        </is>
      </c>
      <c r="E14" s="18" t="inlineStr">
        <is>
          <t>90.000</t>
        </is>
      </c>
      <c r="F14" s="21" t="inlineStr">
        <is>
          <t>✗</t>
        </is>
      </c>
      <c r="G14" s="20" t="n">
        <v>0.8</v>
      </c>
      <c r="H14" s="18" t="inlineStr">
        <is>
          <t>Không khớp đáp án chuẩn</t>
        </is>
      </c>
    </row>
    <row r="15" ht="52" customHeight="1">
      <c r="A15" s="17" t="n">
        <v>7</v>
      </c>
      <c r="B15" s="17" t="inlineStr">
        <is>
          <t>0015-0007-0003</t>
        </is>
      </c>
      <c r="C15" s="18" t="inlineStr">
        <is>
          <t>Lãnh thổ của Đế quốc Mông Cổ kéo dài như thế nào?</t>
        </is>
      </c>
      <c r="D15" s="18" t="inlineStr">
        <is>
          <t>năm 1912</t>
        </is>
      </c>
      <c r="E15" s="18" t="inlineStr">
        <is>
          <t>từ Ukraina hiện nay đến bán đảo Triều Tiên, và từ Siberia đến vịnh Oman và Việt Nam hiện nay</t>
        </is>
      </c>
      <c r="F15" s="21" t="inlineStr">
        <is>
          <t>✗</t>
        </is>
      </c>
      <c r="G15" s="20" t="n">
        <v>0</v>
      </c>
      <c r="H15" s="18" t="inlineStr">
        <is>
          <t>Không khớp đáp án chuẩn</t>
        </is>
      </c>
    </row>
    <row r="16" ht="52" customHeight="1">
      <c r="A16" s="17" t="n">
        <v>8</v>
      </c>
      <c r="B16" s="17" t="inlineStr">
        <is>
          <t>0007-0010-0002</t>
        </is>
      </c>
      <c r="C16" s="18" t="inlineStr">
        <is>
          <t>Javier Solana đã bác bỏ điều gì?</t>
        </is>
      </c>
      <c r="D16" s="18" t="inlineStr"/>
      <c r="E16" s="18" t="inlineStr">
        <is>
          <t>bác bỏ khả năng thay thế binh lính gìn giữ hòa bình Nga bằng lực lượng của Liên minh châu Âu</t>
        </is>
      </c>
      <c r="F16" s="21" t="inlineStr">
        <is>
          <t>✗</t>
        </is>
      </c>
      <c r="G16" s="20" t="n">
        <v>0</v>
      </c>
      <c r="H16" s="18" t="inlineStr">
        <is>
          <t>Không trả lời</t>
        </is>
      </c>
    </row>
    <row r="17" ht="38" customHeight="1">
      <c r="A17" s="17" t="n">
        <v>9</v>
      </c>
      <c r="B17" s="17" t="inlineStr">
        <is>
          <t>0017-0025-0006</t>
        </is>
      </c>
      <c r="C17" s="18" t="inlineStr">
        <is>
          <t>Cơ quan Quản trị Tiến trình Xây dựng Công chánh được thành lập với mục đích gì?</t>
        </is>
      </c>
      <c r="D17" s="18" t="inlineStr">
        <is>
          <t>cung cấp việc làm lương cao và xây dựng cơ sở hạ tầng</t>
        </is>
      </c>
      <c r="E17" s="18" t="inlineStr">
        <is>
          <t>thiết lập ban cứu nguy quốc gia để thuê mướn 2 triệu gia trưởng trên tòan quốc</t>
        </is>
      </c>
      <c r="F17" s="21" t="inlineStr">
        <is>
          <t>✗</t>
        </is>
      </c>
      <c r="G17" s="20" t="n">
        <v>0</v>
      </c>
      <c r="H17" s="18" t="inlineStr">
        <is>
          <t>Không khớp đáp án chuẩn</t>
        </is>
      </c>
    </row>
    <row r="18" ht="52" customHeight="1">
      <c r="A18" s="17" t="n">
        <v>10</v>
      </c>
      <c r="B18" s="17" t="inlineStr">
        <is>
          <t>0015-0020-0004</t>
        </is>
      </c>
      <c r="C18" s="18" t="inlineStr">
        <is>
          <t>Hiện nay, Mông Cổ là nước như thế nào?</t>
        </is>
      </c>
      <c r="D18" s="18" t="inlineStr">
        <is>
          <t>một nước cộng hòa dân chủ đại nghị bán tổng thống</t>
        </is>
      </c>
      <c r="E18" s="18" t="inlineStr">
        <is>
          <t>một nước cộng hòa dân chủ đại nghị bán tổng thống, theo đó tổng thống được bầu cử trực tiếp</t>
        </is>
      </c>
      <c r="F18" s="21" t="inlineStr">
        <is>
          <t>✗</t>
        </is>
      </c>
      <c r="G18" s="20" t="n">
        <v>0.7096774193548387</v>
      </c>
      <c r="H18" s="18" t="inlineStr">
        <is>
          <t>Không khớp đáp án chuẩn</t>
        </is>
      </c>
    </row>
    <row r="19" ht="30" customHeight="1">
      <c r="A19" s="17" t="n">
        <v>11</v>
      </c>
      <c r="B19" s="17" t="inlineStr">
        <is>
          <t>0003-0013-0001</t>
        </is>
      </c>
      <c r="C19" s="18" t="inlineStr">
        <is>
          <t>Ngôn ngữ nào phổ biến ở Ontario?</t>
        </is>
      </c>
      <c r="D19" s="18" t="inlineStr">
        <is>
          <t>Pháp ngữ 1977 xác định tiếng Pháp</t>
        </is>
      </c>
      <c r="E19" s="18" t="inlineStr">
        <is>
          <t>Anh ngữ</t>
        </is>
      </c>
      <c r="F19" s="21" t="inlineStr">
        <is>
          <t>✗</t>
        </is>
      </c>
      <c r="G19" s="20" t="n">
        <v>0.2222222222222222</v>
      </c>
      <c r="H19" s="18" t="inlineStr">
        <is>
          <t>Không khớp đáp án chuẩn</t>
        </is>
      </c>
    </row>
    <row r="20" ht="38" customHeight="1">
      <c r="A20" s="17" t="n">
        <v>12</v>
      </c>
      <c r="B20" s="17" t="inlineStr">
        <is>
          <t>0006-0015-0004</t>
        </is>
      </c>
      <c r="C20" s="18" t="inlineStr">
        <is>
          <t>Ngành gì chiếm vị trí quan trọng trong kinh tế của Puerto Rico từ thế kỉ XX trở về trước?</t>
        </is>
      </c>
      <c r="D20" s="18" t="inlineStr">
        <is>
          <t>ngành trồng và xuất khẩu mía đường</t>
        </is>
      </c>
      <c r="E20" s="18" t="inlineStr">
        <is>
          <t>ngành trồng và xuất khẩu mía đường</t>
        </is>
      </c>
      <c r="F20" s="19" t="inlineStr">
        <is>
          <t>✓</t>
        </is>
      </c>
      <c r="G20" s="20" t="n">
        <v>1</v>
      </c>
      <c r="H20" s="18" t="inlineStr">
        <is>
          <t>Khớp chính xác</t>
        </is>
      </c>
    </row>
    <row r="21" ht="30" customHeight="1">
      <c r="A21" s="17" t="n">
        <v>13</v>
      </c>
      <c r="B21" s="17" t="inlineStr">
        <is>
          <t>0001-0061-0001</t>
        </is>
      </c>
      <c r="C21" s="18" t="inlineStr">
        <is>
          <t>Những khu rừng nào nằm ở phía Đông và Tây trong nội thành Paris?</t>
        </is>
      </c>
      <c r="D21" s="18" t="inlineStr"/>
      <c r="E21" s="18" t="inlineStr">
        <is>
          <t>Rừng Boulogne và rừng Vincennes</t>
        </is>
      </c>
      <c r="F21" s="21" t="inlineStr">
        <is>
          <t>✗</t>
        </is>
      </c>
      <c r="G21" s="20" t="n">
        <v>0</v>
      </c>
      <c r="H21" s="18" t="inlineStr">
        <is>
          <t>Không trả lời</t>
        </is>
      </c>
    </row>
    <row r="22" ht="38" customHeight="1">
      <c r="A22" s="17" t="n">
        <v>14</v>
      </c>
      <c r="B22" s="17" t="inlineStr">
        <is>
          <t>0001-0022-0001</t>
        </is>
      </c>
      <c r="C22" s="18" t="inlineStr">
        <is>
          <t>Vì sao nhà vua phải bỏ cung điện owrVersailles để về Paris?</t>
        </is>
      </c>
      <c r="D22" s="18" t="inlineStr">
        <is>
          <t>những người nổi dậy tới Versailles vào buổi tối. Sáng ngày 6, họ chiếm lâu đài</t>
        </is>
      </c>
      <c r="E22" s="18" t="inlineStr">
        <is>
          <t>những người nổi dậy tới Versailles</t>
        </is>
      </c>
      <c r="F22" s="21" t="inlineStr">
        <is>
          <t>✗</t>
        </is>
      </c>
      <c r="G22" s="20" t="n">
        <v>0.5454545454545454</v>
      </c>
      <c r="H22" s="18" t="inlineStr">
        <is>
          <t>Không khớp đáp án chuẩn</t>
        </is>
      </c>
    </row>
    <row r="23" ht="38" customHeight="1">
      <c r="A23" s="17" t="n">
        <v>15</v>
      </c>
      <c r="B23" s="17" t="inlineStr">
        <is>
          <t>0019-0028-0003</t>
        </is>
      </c>
      <c r="C23" s="18" t="inlineStr">
        <is>
          <t>Cuộc bầu cử tổng thống Hoa Kỳ năm 2008, ai là người đã dành chiến thắng tại Texas?</t>
        </is>
      </c>
      <c r="D23" s="18" t="inlineStr">
        <is>
          <t>John McCain</t>
        </is>
      </c>
      <c r="E23" s="18" t="inlineStr">
        <is>
          <t>John McCain</t>
        </is>
      </c>
      <c r="F23" s="19" t="inlineStr">
        <is>
          <t>✓</t>
        </is>
      </c>
      <c r="G23" s="20" t="n">
        <v>1</v>
      </c>
      <c r="H23" s="18" t="inlineStr">
        <is>
          <t>Khớp chính xác</t>
        </is>
      </c>
    </row>
    <row r="24" ht="52" customHeight="1">
      <c r="A24" s="17" t="n">
        <v>16</v>
      </c>
      <c r="B24" s="17" t="inlineStr">
        <is>
          <t>0002-0002-0001</t>
        </is>
      </c>
      <c r="C24" s="18" t="inlineStr">
        <is>
          <t>Trong 4.200 tù nhân chính trị được đưa đến Nouvelle- Calédonie từ năm 1873 đến 1876 thì thì có bao nhiêu người định cư tại thuộc địa?</t>
        </is>
      </c>
      <c r="D24" s="18" t="inlineStr">
        <is>
          <t>năm 1897</t>
        </is>
      </c>
      <c r="E24" s="18" t="inlineStr">
        <is>
          <t>40</t>
        </is>
      </c>
      <c r="F24" s="21" t="inlineStr">
        <is>
          <t>✗</t>
        </is>
      </c>
      <c r="G24" s="20" t="n">
        <v>0</v>
      </c>
      <c r="H24" s="18" t="inlineStr">
        <is>
          <t>Không khớp đáp án chuẩn</t>
        </is>
      </c>
    </row>
    <row r="25" ht="38" customHeight="1">
      <c r="A25" s="17" t="n">
        <v>17</v>
      </c>
      <c r="B25" s="17" t="inlineStr">
        <is>
          <t>0015-0035-0002</t>
        </is>
      </c>
      <c r="C25" s="18" t="inlineStr">
        <is>
          <t>Ngòai vật ra thì còn có môn thể thao nào góp mặt trong lễ hội Naadam?</t>
        </is>
      </c>
      <c r="D25" s="18" t="inlineStr">
        <is>
          <t>bắn cung, đua ngựa</t>
        </is>
      </c>
      <c r="E25" s="18" t="inlineStr">
        <is>
          <t>Mông Cổ, bắn cung, đua ngựa</t>
        </is>
      </c>
      <c r="F25" s="21" t="inlineStr">
        <is>
          <t>✗</t>
        </is>
      </c>
      <c r="G25" s="20" t="n">
        <v>0.8</v>
      </c>
      <c r="H25" s="18" t="inlineStr">
        <is>
          <t>Không khớp đáp án chuẩn</t>
        </is>
      </c>
    </row>
    <row r="26" ht="38" customHeight="1">
      <c r="A26" s="17" t="n">
        <v>18</v>
      </c>
      <c r="B26" s="17" t="inlineStr">
        <is>
          <t>0017-0028-0002</t>
        </is>
      </c>
      <c r="C26" s="18" t="inlineStr">
        <is>
          <t>Các nhà kinh tế học đề nghị giải pháp gì để giải quyết nền kinh tế Mĩ lúc bấy giờ?</t>
        </is>
      </c>
      <c r="D26" s="18" t="inlineStr">
        <is>
          <t>ngôn ngữ lý thuyết trò chơi và lý thuyết về các cân bằng tổng quát cho kinh tế</t>
        </is>
      </c>
      <c r="E26" s="18" t="inlineStr">
        <is>
          <t>Chi tiêu thâm thủng</t>
        </is>
      </c>
      <c r="F26" s="21" t="inlineStr">
        <is>
          <t>✗</t>
        </is>
      </c>
      <c r="G26" s="20" t="n">
        <v>0</v>
      </c>
      <c r="H26" s="18" t="inlineStr">
        <is>
          <t>Không khớp đáp án chuẩn</t>
        </is>
      </c>
    </row>
    <row r="27" ht="30" customHeight="1">
      <c r="A27" s="17" t="n">
        <v>19</v>
      </c>
      <c r="B27" s="17" t="inlineStr">
        <is>
          <t>0003-0006-0003</t>
        </is>
      </c>
      <c r="C27" s="18" t="inlineStr">
        <is>
          <t>Khi nào thì Canada được thống nhất thành một tỉnh?</t>
        </is>
      </c>
      <c r="D27" s="18" t="inlineStr">
        <is>
          <t>Đạo luật Liên minh 1840</t>
        </is>
      </c>
      <c r="E27" s="18" t="inlineStr">
        <is>
          <t>năm 1841</t>
        </is>
      </c>
      <c r="F27" s="21" t="inlineStr">
        <is>
          <t>✗</t>
        </is>
      </c>
      <c r="G27" s="20" t="n">
        <v>0</v>
      </c>
      <c r="H27" s="18" t="inlineStr">
        <is>
          <t>Không khớp đáp án chuẩn</t>
        </is>
      </c>
    </row>
    <row r="28" ht="30" customHeight="1">
      <c r="A28" s="17" t="n">
        <v>20</v>
      </c>
      <c r="B28" s="17" t="inlineStr">
        <is>
          <t>0012-0006-0003</t>
        </is>
      </c>
      <c r="C28" s="18" t="inlineStr">
        <is>
          <t>Ông trở về Ấn Độ từ khi nào?</t>
        </is>
      </c>
      <c r="D28" s="18" t="inlineStr">
        <is>
          <t>tháng 6 năm 1891</t>
        </is>
      </c>
      <c r="E28" s="18" t="inlineStr">
        <is>
          <t>tháng 6 năm 1891</t>
        </is>
      </c>
      <c r="F28" s="19" t="inlineStr">
        <is>
          <t>✓</t>
        </is>
      </c>
      <c r="G28" s="20" t="n">
        <v>1</v>
      </c>
      <c r="H28" s="18" t="inlineStr">
        <is>
          <t>Khớp chính xác</t>
        </is>
      </c>
    </row>
    <row r="29" ht="30" customHeight="1">
      <c r="A29" s="17" t="n">
        <v>21</v>
      </c>
      <c r="B29" s="17" t="inlineStr">
        <is>
          <t>0004-0033-0001</t>
        </is>
      </c>
      <c r="C29" s="18" t="inlineStr">
        <is>
          <t>Phe liên minh có trang bị gì hiện đại hơn Lực lượng Iraq?</t>
        </is>
      </c>
      <c r="D29" s="18" t="inlineStr">
        <is>
          <t>công nghệ</t>
        </is>
      </c>
      <c r="E29" s="18" t="inlineStr"/>
      <c r="F29" s="21" t="inlineStr">
        <is>
          <t>✗</t>
        </is>
      </c>
      <c r="G29" s="20" t="n">
        <v>0</v>
      </c>
      <c r="H29" s="18" t="inlineStr">
        <is>
          <t>Trả lời khi câu không có đáp án</t>
        </is>
      </c>
    </row>
    <row r="30" ht="38" customHeight="1">
      <c r="A30" s="17" t="n">
        <v>22</v>
      </c>
      <c r="B30" s="17" t="inlineStr">
        <is>
          <t>0004-0019-0008</t>
        </is>
      </c>
      <c r="C30" s="18" t="inlineStr">
        <is>
          <t>Số lượng quân lính mà Hoa Kỳ đã triệu tập lên đến con số bao nhiêu?</t>
        </is>
      </c>
      <c r="D30" s="18" t="inlineStr">
        <is>
          <t>2012</t>
        </is>
      </c>
      <c r="E30" s="18" t="inlineStr">
        <is>
          <t>500.000 quân</t>
        </is>
      </c>
      <c r="F30" s="21" t="inlineStr">
        <is>
          <t>✗</t>
        </is>
      </c>
      <c r="G30" s="20" t="n">
        <v>0</v>
      </c>
      <c r="H30" s="18" t="inlineStr">
        <is>
          <t>Không khớp đáp án chuẩn</t>
        </is>
      </c>
    </row>
    <row r="31" ht="38" customHeight="1">
      <c r="A31" s="17" t="n">
        <v>23</v>
      </c>
      <c r="B31" s="17" t="inlineStr">
        <is>
          <t>0017-0068-0001</t>
        </is>
      </c>
      <c r="C31" s="18" t="inlineStr">
        <is>
          <t>Có bao nhiêu thường trú nhân gốc ý phải chịu bị giới hạn đi lại khi Ý giao chiến với Hoa Kỳ?</t>
        </is>
      </c>
      <c r="D31" s="18" t="inlineStr">
        <is>
          <t>10</t>
        </is>
      </c>
      <c r="E31" s="18" t="inlineStr">
        <is>
          <t>khỏang 600.000</t>
        </is>
      </c>
      <c r="F31" s="21" t="inlineStr">
        <is>
          <t>✗</t>
        </is>
      </c>
      <c r="G31" s="20" t="n">
        <v>0</v>
      </c>
      <c r="H31" s="18" t="inlineStr">
        <is>
          <t>Không khớp đáp án chuẩn</t>
        </is>
      </c>
    </row>
    <row r="32" ht="38" customHeight="1">
      <c r="A32" s="17" t="n">
        <v>24</v>
      </c>
      <c r="B32" s="17" t="inlineStr">
        <is>
          <t>0017-0040-0003</t>
        </is>
      </c>
      <c r="C32" s="18" t="inlineStr">
        <is>
          <t>Trước những đồn đóan rằng thế giới sẽ tham chiến chiến tranh Hoa Kỳ, Roosevelt đã có những phản ứng như thế nào?</t>
        </is>
      </c>
      <c r="D32" s="18" t="inlineStr">
        <is>
          <t>bác bỏ lời đồn đóan</t>
        </is>
      </c>
      <c r="E32" s="18" t="inlineStr"/>
      <c r="F32" s="21" t="inlineStr">
        <is>
          <t>✗</t>
        </is>
      </c>
      <c r="G32" s="20" t="n">
        <v>0</v>
      </c>
      <c r="H32" s="18" t="inlineStr">
        <is>
          <t>Trả lời khi câu không có đáp án</t>
        </is>
      </c>
    </row>
    <row r="33" ht="38" customHeight="1">
      <c r="A33" s="17" t="n">
        <v>25</v>
      </c>
      <c r="B33" s="17" t="inlineStr">
        <is>
          <t>0001-0029-0004</t>
        </is>
      </c>
      <c r="C33" s="18" t="inlineStr">
        <is>
          <t>Cuộc diễu hành lớn nhất ở Pháp sau thế chiến II diễn ra vào thời gian nào?</t>
        </is>
      </c>
      <c r="D33" s="18" t="inlineStr"/>
      <c r="E33" s="18" t="inlineStr">
        <is>
          <t>ngày 10 và 11 tháng 1 năm 2015</t>
        </is>
      </c>
      <c r="F33" s="21" t="inlineStr">
        <is>
          <t>✗</t>
        </is>
      </c>
      <c r="G33" s="20" t="n">
        <v>0</v>
      </c>
      <c r="H33" s="18" t="inlineStr">
        <is>
          <t>Không trả lời</t>
        </is>
      </c>
    </row>
    <row r="34" ht="30" customHeight="1">
      <c r="A34" s="17" t="n">
        <v>26</v>
      </c>
      <c r="B34" s="17" t="inlineStr">
        <is>
          <t>0001-0014-0002</t>
        </is>
      </c>
      <c r="C34" s="18" t="inlineStr">
        <is>
          <t>Roma có tên gì sau khi bị xâm chiếm bởi đế chế Paris?</t>
        </is>
      </c>
      <c r="D34" s="18" t="inlineStr"/>
      <c r="E34" s="18" t="inlineStr"/>
      <c r="F34" s="19" t="inlineStr">
        <is>
          <t>✓</t>
        </is>
      </c>
      <c r="G34" s="20" t="n">
        <v>1</v>
      </c>
      <c r="H34" s="18" t="inlineStr">
        <is>
          <t>Đúng khi không trả lời</t>
        </is>
      </c>
    </row>
    <row r="35" ht="38" customHeight="1">
      <c r="A35" s="17" t="n">
        <v>27</v>
      </c>
      <c r="B35" s="17" t="inlineStr">
        <is>
          <t>0012-0028-0003</t>
        </is>
      </c>
      <c r="C35" s="18" t="inlineStr">
        <is>
          <t>Vì sao chính quyền Anh không muốn ông vượt khỏi tù?</t>
        </is>
      </c>
      <c r="D35" s="18" t="inlineStr">
        <is>
          <t>đây là một sự kiện có thể làm lòng căm phẫn của công chúng vượt khỏi tầm kiểm sóat</t>
        </is>
      </c>
      <c r="E35" s="18" t="inlineStr"/>
      <c r="F35" s="21" t="inlineStr">
        <is>
          <t>✗</t>
        </is>
      </c>
      <c r="G35" s="20" t="n">
        <v>0</v>
      </c>
      <c r="H35" s="18" t="inlineStr">
        <is>
          <t>Trả lời khi câu không có đáp án</t>
        </is>
      </c>
    </row>
    <row r="36" ht="30" customHeight="1">
      <c r="A36" s="17" t="n">
        <v>28</v>
      </c>
      <c r="B36" s="17" t="inlineStr">
        <is>
          <t>0003-0026-0003</t>
        </is>
      </c>
      <c r="C36" s="18" t="inlineStr">
        <is>
          <t>Nơi nào của Canada có khí hậu tốt nhất vào vào mùa đông?</t>
        </is>
      </c>
      <c r="D36" s="18" t="inlineStr">
        <is>
          <t>British Columbia Duyên hải</t>
        </is>
      </c>
      <c r="E36" s="18" t="inlineStr">
        <is>
          <t>British Columbia Duyên hải</t>
        </is>
      </c>
      <c r="F36" s="19" t="inlineStr">
        <is>
          <t>✓</t>
        </is>
      </c>
      <c r="G36" s="20" t="n">
        <v>1</v>
      </c>
      <c r="H36" s="18" t="inlineStr">
        <is>
          <t>Khớp chính xác</t>
        </is>
      </c>
    </row>
    <row r="37" ht="38" customHeight="1">
      <c r="A37" s="17" t="n">
        <v>29</v>
      </c>
      <c r="B37" s="17" t="inlineStr">
        <is>
          <t>0019-0011-0001</t>
        </is>
      </c>
      <c r="C37" s="18" t="inlineStr">
        <is>
          <t>Lý do mà một số đòan truyền giáo được ra đời tại Đông Texas vào năm 1690 là gì?</t>
        </is>
      </c>
      <c r="D37" s="18" t="inlineStr"/>
      <c r="E37" s="18" t="inlineStr">
        <is>
          <t>nhà cầm quyền Tây Ban Nha lo ngại rằng Pháp tạo ra mối đe dọa cạnh tranh</t>
        </is>
      </c>
      <c r="F37" s="21" t="inlineStr">
        <is>
          <t>✗</t>
        </is>
      </c>
      <c r="G37" s="20" t="n">
        <v>0</v>
      </c>
      <c r="H37" s="18" t="inlineStr">
        <is>
          <t>Không trả lời</t>
        </is>
      </c>
    </row>
    <row r="38" ht="38" customHeight="1">
      <c r="A38" s="17" t="n">
        <v>30</v>
      </c>
      <c r="B38" s="17" t="inlineStr">
        <is>
          <t>0012-0017-0005</t>
        </is>
      </c>
      <c r="C38" s="18" t="inlineStr">
        <is>
          <t>Hiệu quả của chương trình tẩy chay này đạt được như thế nào?</t>
        </is>
      </c>
      <c r="D38" s="18" t="inlineStr">
        <is>
          <t>sức lôi cuốn và thành công rộng lớn, gia lực cho người Ấn chưa từng có từ xưa nay</t>
        </is>
      </c>
      <c r="E38" s="18" t="inlineStr">
        <is>
          <t>sức lôi cuốn và thành công rộng lớn, gia lực cho người Ấn chưa từng có từ xưa nay</t>
        </is>
      </c>
      <c r="F38" s="19" t="inlineStr">
        <is>
          <t>✓</t>
        </is>
      </c>
      <c r="G38" s="20" t="n">
        <v>1</v>
      </c>
      <c r="H38" s="18" t="inlineStr">
        <is>
          <t>Khớp chính xác</t>
        </is>
      </c>
    </row>
    <row r="39" ht="38" customHeight="1">
      <c r="A39" s="17" t="n">
        <v>31</v>
      </c>
      <c r="B39" s="17" t="inlineStr">
        <is>
          <t>0004-0022-0001</t>
        </is>
      </c>
      <c r="C39" s="18" t="inlineStr">
        <is>
          <t>Trước hiện trạng Kuwait bị Mỹ xâm lược, Iraq đã thành lập tổ chức nào để phản đối việc này?</t>
        </is>
      </c>
      <c r="D39" s="18" t="inlineStr"/>
      <c r="E39" s="18" t="inlineStr"/>
      <c r="F39" s="19" t="inlineStr">
        <is>
          <t>✓</t>
        </is>
      </c>
      <c r="G39" s="20" t="n">
        <v>1</v>
      </c>
      <c r="H39" s="18" t="inlineStr">
        <is>
          <t>Đúng khi không trả lời</t>
        </is>
      </c>
    </row>
    <row r="40" ht="38" customHeight="1">
      <c r="A40" s="17" t="n">
        <v>32</v>
      </c>
      <c r="B40" s="17" t="inlineStr">
        <is>
          <t>0001-0056-0003</t>
        </is>
      </c>
      <c r="C40" s="18" t="inlineStr">
        <is>
          <t>Các tòa nhà được thiết kế ở Paris phải theo luật gì để không phá hỏng cảnh quan?</t>
        </is>
      </c>
      <c r="D40" s="18" t="inlineStr"/>
      <c r="E40" s="18" t="inlineStr">
        <is>
          <t>màu sắc, kiểu cửa sổ</t>
        </is>
      </c>
      <c r="F40" s="21" t="inlineStr">
        <is>
          <t>✗</t>
        </is>
      </c>
      <c r="G40" s="20" t="n">
        <v>0</v>
      </c>
      <c r="H40" s="18" t="inlineStr">
        <is>
          <t>Không trả lời</t>
        </is>
      </c>
    </row>
    <row r="41" ht="30" customHeight="1">
      <c r="A41" s="17" t="n">
        <v>33</v>
      </c>
      <c r="B41" s="17" t="inlineStr">
        <is>
          <t>0007-0015-0004</t>
        </is>
      </c>
      <c r="C41" s="18" t="inlineStr">
        <is>
          <t>Nam Ossetia và vùng Bắc Ossetia bị chia cắt bởi gì?</t>
        </is>
      </c>
      <c r="D41" s="18" t="inlineStr">
        <is>
          <t>Gruzia</t>
        </is>
      </c>
      <c r="E41" s="18" t="inlineStr">
        <is>
          <t>bởi những dãy núi</t>
        </is>
      </c>
      <c r="F41" s="21" t="inlineStr">
        <is>
          <t>✗</t>
        </is>
      </c>
      <c r="G41" s="20" t="n">
        <v>0</v>
      </c>
      <c r="H41" s="18" t="inlineStr">
        <is>
          <t>Không khớp đáp án chuẩn</t>
        </is>
      </c>
    </row>
    <row r="42" ht="66" customHeight="1">
      <c r="A42" s="17" t="n">
        <v>34</v>
      </c>
      <c r="B42" s="17" t="inlineStr">
        <is>
          <t>0011-0001-0004</t>
        </is>
      </c>
      <c r="C42" s="18" t="inlineStr">
        <is>
          <t>Vai trò của thần học là gì?</t>
        </is>
      </c>
      <c r="D42" s="18" t="inlineStr">
        <is>
          <t>giúp các nhà thần học hiểu rõ hơn về truyền thống tôn giáo của chính mình, về các truyền thống tôn giáo khác, cũng như so sánh giữa các truyền thống tôn giáo khác nhau</t>
        </is>
      </c>
      <c r="E42" s="18" t="inlineStr">
        <is>
          <t>giúp các nhà thần học hiểu rõ hơn về truyền thống tôn giáo của chính mình, về các truyền thống tôn giáo khác, cũng như so sánh giữa các truyền thống tôn giáo khác nhau</t>
        </is>
      </c>
      <c r="F42" s="19" t="inlineStr">
        <is>
          <t>✓</t>
        </is>
      </c>
      <c r="G42" s="20" t="n">
        <v>1</v>
      </c>
      <c r="H42" s="18" t="inlineStr">
        <is>
          <t>Khớp chính xác</t>
        </is>
      </c>
    </row>
    <row r="43" ht="38" customHeight="1">
      <c r="A43" s="17" t="n">
        <v>35</v>
      </c>
      <c r="B43" s="17" t="inlineStr">
        <is>
          <t>0003-0025-0008</t>
        </is>
      </c>
      <c r="C43" s="18" t="inlineStr">
        <is>
          <t>Những khu vực nào có người dân nhập cư tập trung sinh sống đông đúc nhất của Canada?</t>
        </is>
      </c>
      <c r="D43" s="18" t="inlineStr"/>
      <c r="E43" s="18" t="inlineStr"/>
      <c r="F43" s="19" t="inlineStr">
        <is>
          <t>✓</t>
        </is>
      </c>
      <c r="G43" s="20" t="n">
        <v>1</v>
      </c>
      <c r="H43" s="18" t="inlineStr">
        <is>
          <t>Đúng khi không trả lời</t>
        </is>
      </c>
    </row>
    <row r="44" ht="52" customHeight="1">
      <c r="A44" s="17" t="n">
        <v>36</v>
      </c>
      <c r="B44" s="17" t="inlineStr">
        <is>
          <t>0005-0001-0004</t>
        </is>
      </c>
      <c r="C44" s="18" t="inlineStr">
        <is>
          <t>Ngòai biển hở có nồng độ muối cao hơn biển thông thường thì còn có lọai biển nào khác cũng có nồng độ muối cao hơn một cách đáng kể?</t>
        </is>
      </c>
      <c r="D44" s="18" t="inlineStr">
        <is>
          <t>biển cô lập</t>
        </is>
      </c>
      <c r="E44" s="18" t="inlineStr">
        <is>
          <t>biển trong các biển cô lập (biển kín)</t>
        </is>
      </c>
      <c r="F44" s="21" t="inlineStr">
        <is>
          <t>✗</t>
        </is>
      </c>
      <c r="G44" s="20" t="n">
        <v>0.5454545454545454</v>
      </c>
      <c r="H44" s="18" t="inlineStr">
        <is>
          <t>Không khớp đáp án chuẩn</t>
        </is>
      </c>
    </row>
    <row r="45" ht="30" customHeight="1">
      <c r="A45" s="17" t="n">
        <v>37</v>
      </c>
      <c r="B45" s="17" t="inlineStr">
        <is>
          <t>0001-0005-0003</t>
        </is>
      </c>
      <c r="C45" s="18" t="inlineStr">
        <is>
          <t>Ngọai trừ cái tên Paname, Paris còn có tên gọi khác là gì?</t>
        </is>
      </c>
      <c r="D45" s="18" t="inlineStr">
        <is>
          <t>Pantruche</t>
        </is>
      </c>
      <c r="E45" s="18" t="inlineStr">
        <is>
          <t>Pantruche</t>
        </is>
      </c>
      <c r="F45" s="19" t="inlineStr">
        <is>
          <t>✓</t>
        </is>
      </c>
      <c r="G45" s="20" t="n">
        <v>1</v>
      </c>
      <c r="H45" s="18" t="inlineStr">
        <is>
          <t>Khớp chính xác</t>
        </is>
      </c>
    </row>
    <row r="46" ht="38" customHeight="1">
      <c r="A46" s="17" t="n">
        <v>38</v>
      </c>
      <c r="B46" s="17" t="inlineStr">
        <is>
          <t>0002-0005-0008</t>
        </is>
      </c>
      <c r="C46" s="18" t="inlineStr">
        <is>
          <t>Tất cả những đạo luật được Nouvelle-Calédonie lên kế họach trong năm 1876-1988 đều tạo nên điều gì?</t>
        </is>
      </c>
      <c r="D46" s="18" t="inlineStr"/>
      <c r="E46" s="18" t="inlineStr"/>
      <c r="F46" s="19" t="inlineStr">
        <is>
          <t>✓</t>
        </is>
      </c>
      <c r="G46" s="20" t="n">
        <v>1</v>
      </c>
      <c r="H46" s="18" t="inlineStr">
        <is>
          <t>Đúng khi không trả lời</t>
        </is>
      </c>
    </row>
    <row r="47" ht="38" customHeight="1">
      <c r="A47" s="17" t="n">
        <v>39</v>
      </c>
      <c r="B47" s="17" t="inlineStr">
        <is>
          <t>0017-0036-0008</t>
        </is>
      </c>
      <c r="C47" s="18" t="inlineStr">
        <is>
          <t>Để vượt qua sự thuyết phục của các đảng viên Dân chủ bảo thủ, Roosevelt đã có quyết định gì?</t>
        </is>
      </c>
      <c r="D47" s="18" t="inlineStr"/>
      <c r="E47" s="18" t="inlineStr"/>
      <c r="F47" s="19" t="inlineStr">
        <is>
          <t>✓</t>
        </is>
      </c>
      <c r="G47" s="20" t="n">
        <v>1</v>
      </c>
      <c r="H47" s="18" t="inlineStr">
        <is>
          <t>Đúng khi không trả lời</t>
        </is>
      </c>
    </row>
    <row r="48" ht="38" customHeight="1">
      <c r="A48" s="17" t="n">
        <v>40</v>
      </c>
      <c r="B48" s="17" t="inlineStr">
        <is>
          <t>0004-0036-0001</t>
        </is>
      </c>
      <c r="C48" s="18" t="inlineStr">
        <is>
          <t>Số tiền Đức và Nhật Bản đóng góp cho Hoa Kỳ để phục vụ chiến tranh là bao nhiêu?</t>
        </is>
      </c>
      <c r="D48" s="18" t="inlineStr">
        <is>
          <t>$16 tỷ</t>
        </is>
      </c>
      <c r="E48" s="18" t="inlineStr">
        <is>
          <t>$16 tỷ</t>
        </is>
      </c>
      <c r="F48" s="19" t="inlineStr">
        <is>
          <t>✓</t>
        </is>
      </c>
      <c r="G48" s="20" t="n">
        <v>1</v>
      </c>
      <c r="H48" s="18" t="inlineStr">
        <is>
          <t>Khớp chính xác</t>
        </is>
      </c>
    </row>
    <row r="49" ht="38" customHeight="1">
      <c r="A49" s="17" t="n">
        <v>41</v>
      </c>
      <c r="B49" s="17" t="inlineStr">
        <is>
          <t>0004-0037-0005</t>
        </is>
      </c>
      <c r="C49" s="18" t="inlineStr">
        <is>
          <t>Tòa báo CNN đã phát hành tờ "CHIẾN TRANH VÙNG VỊNH" vào thời gian nào?</t>
        </is>
      </c>
      <c r="D49" s="18" t="inlineStr">
        <is>
          <t>ngày 28 tháng 1 năm 1991</t>
        </is>
      </c>
      <c r="E49" s="18" t="inlineStr"/>
      <c r="F49" s="21" t="inlineStr">
        <is>
          <t>✗</t>
        </is>
      </c>
      <c r="G49" s="20" t="n">
        <v>0</v>
      </c>
      <c r="H49" s="18" t="inlineStr">
        <is>
          <t>Trả lời khi câu không có đáp án</t>
        </is>
      </c>
    </row>
    <row r="50" ht="30" customHeight="1">
      <c r="A50" s="17" t="n">
        <v>42</v>
      </c>
      <c r="B50" s="17" t="inlineStr">
        <is>
          <t>0012-0002-0006</t>
        </is>
      </c>
      <c r="C50" s="18" t="inlineStr">
        <is>
          <t>Danh hiệu Mahatma Gandhi lần đầu tiên được dùng bởi ai?</t>
        </is>
      </c>
      <c r="D50" s="18" t="inlineStr">
        <is>
          <t>Rabindranath Tagore</t>
        </is>
      </c>
      <c r="E50" s="18" t="inlineStr">
        <is>
          <t>Rabindranath Tagore</t>
        </is>
      </c>
      <c r="F50" s="19" t="inlineStr">
        <is>
          <t>✓</t>
        </is>
      </c>
      <c r="G50" s="20" t="n">
        <v>1</v>
      </c>
      <c r="H50" s="18" t="inlineStr">
        <is>
          <t>Khớp chính xác</t>
        </is>
      </c>
    </row>
    <row r="51" ht="38" customHeight="1">
      <c r="A51" s="17" t="n">
        <v>43</v>
      </c>
      <c r="B51" s="17" t="inlineStr">
        <is>
          <t>0012-0014-0008</t>
        </is>
      </c>
      <c r="C51" s="18" t="inlineStr">
        <is>
          <t>Cuộc phát động có tổ chức đầu tiên của Gandhi xảy ra khi nào?</t>
        </is>
      </c>
      <c r="D51" s="18" t="inlineStr">
        <is>
          <t>khi ông bị cảnh sát bắt giam</t>
        </is>
      </c>
      <c r="E51" s="18" t="inlineStr">
        <is>
          <t>khi ông bị cảnh sát bắt giam với lý do gây bạo động và được yêu cầu rời địa phương này</t>
        </is>
      </c>
      <c r="F51" s="21" t="inlineStr">
        <is>
          <t>✗</t>
        </is>
      </c>
      <c r="G51" s="20" t="n">
        <v>0.5</v>
      </c>
      <c r="H51" s="18" t="inlineStr">
        <is>
          <t>Không khớp đáp án chuẩn</t>
        </is>
      </c>
    </row>
    <row r="52" ht="30" customHeight="1">
      <c r="A52" s="17" t="n">
        <v>44</v>
      </c>
      <c r="B52" s="17" t="inlineStr">
        <is>
          <t>0004-0030-0007</t>
        </is>
      </c>
      <c r="C52" s="18" t="inlineStr">
        <is>
          <t>Vì sao Mỹ chỉ nhận sát thương không đáng kể từ tên lửa Scud?</t>
        </is>
      </c>
      <c r="D52" s="18" t="inlineStr"/>
      <c r="E52" s="18" t="inlineStr"/>
      <c r="F52" s="19" t="inlineStr">
        <is>
          <t>✓</t>
        </is>
      </c>
      <c r="G52" s="20" t="n">
        <v>1</v>
      </c>
      <c r="H52" s="18" t="inlineStr">
        <is>
          <t>Đúng khi không trả lời</t>
        </is>
      </c>
    </row>
    <row r="53" ht="30" customHeight="1">
      <c r="A53" s="17" t="n">
        <v>45</v>
      </c>
      <c r="B53" s="17" t="inlineStr">
        <is>
          <t>0008-0002-0007</t>
        </is>
      </c>
      <c r="C53" s="18" t="inlineStr">
        <is>
          <t>Lòai kiến vào kỷ Creta sinh sống nhiều nhất ở khu vực nào?</t>
        </is>
      </c>
      <c r="D53" s="18" t="inlineStr">
        <is>
          <t>siêu lục địa Laurasia</t>
        </is>
      </c>
      <c r="E53" s="18" t="inlineStr">
        <is>
          <t>siêu lục địa Laurasia</t>
        </is>
      </c>
      <c r="F53" s="19" t="inlineStr">
        <is>
          <t>✓</t>
        </is>
      </c>
      <c r="G53" s="20" t="n">
        <v>1</v>
      </c>
      <c r="H53" s="18" t="inlineStr">
        <is>
          <t>Khớp chính xác</t>
        </is>
      </c>
    </row>
    <row r="54" ht="30" customHeight="1">
      <c r="A54" s="17" t="n">
        <v>46</v>
      </c>
      <c r="B54" s="17" t="inlineStr">
        <is>
          <t>0014-0008-0008</t>
        </is>
      </c>
      <c r="C54" s="18" t="inlineStr">
        <is>
          <t>Nguyên nhân khiến đế quốc mãi trường tồn sau này là gì?</t>
        </is>
      </c>
      <c r="D54" s="18" t="inlineStr"/>
      <c r="E54" s="18" t="inlineStr"/>
      <c r="F54" s="19" t="inlineStr">
        <is>
          <t>✓</t>
        </is>
      </c>
      <c r="G54" s="20" t="n">
        <v>1</v>
      </c>
      <c r="H54" s="18" t="inlineStr">
        <is>
          <t>Đúng khi không trả lời</t>
        </is>
      </c>
    </row>
    <row r="55" ht="52" customHeight="1">
      <c r="A55" s="17" t="n">
        <v>47</v>
      </c>
      <c r="B55" s="17" t="inlineStr">
        <is>
          <t>0013-0001-0003</t>
        </is>
      </c>
      <c r="C55" s="18" t="inlineStr">
        <is>
          <t>Trước việc quốc hội không thông qua tiền chi phí cho chiến tranh với Tây Ban Nha và Pháp, nhà vua đã làm điều gì?</t>
        </is>
      </c>
      <c r="D55" s="18" t="inlineStr">
        <is>
          <t>thuế hải quan, cho vay tiền và bắt trợ cấp</t>
        </is>
      </c>
      <c r="E55" s="18" t="inlineStr">
        <is>
          <t>tiết kiệm tiền bằng cách cho quân sĩ sống nhờ nhà dân và buộc các nhà giàu phải cho triều đình vay tiền</t>
        </is>
      </c>
      <c r="F55" s="21" t="inlineStr">
        <is>
          <t>✗</t>
        </is>
      </c>
      <c r="G55" s="20" t="n">
        <v>0.2424242424242424</v>
      </c>
      <c r="H55" s="18" t="inlineStr">
        <is>
          <t>Không khớp đáp án chuẩn</t>
        </is>
      </c>
    </row>
    <row r="56" ht="38" customHeight="1">
      <c r="A56" s="17" t="n">
        <v>48</v>
      </c>
      <c r="B56" s="17" t="inlineStr">
        <is>
          <t>0004-0012-0009</t>
        </is>
      </c>
      <c r="C56" s="18" t="inlineStr">
        <is>
          <t>Ai là người mời được Tổng thống Iraq Saddam Hussein trong buổi gặp mặt ngòai dự kiến hồi tháng 7 năm 1990?</t>
        </is>
      </c>
      <c r="D56" s="18" t="inlineStr">
        <is>
          <t>Đại sứ Hoa Kỳ April Glaspie</t>
        </is>
      </c>
      <c r="E56" s="18" t="inlineStr"/>
      <c r="F56" s="21" t="inlineStr">
        <is>
          <t>✗</t>
        </is>
      </c>
      <c r="G56" s="20" t="n">
        <v>0</v>
      </c>
      <c r="H56" s="18" t="inlineStr">
        <is>
          <t>Trả lời khi câu không có đáp án</t>
        </is>
      </c>
    </row>
    <row r="57" ht="52" customHeight="1">
      <c r="A57" s="17" t="n">
        <v>49</v>
      </c>
      <c r="B57" s="17" t="inlineStr">
        <is>
          <t>0002-0007-0006</t>
        </is>
      </c>
      <c r="C57" s="18" t="inlineStr">
        <is>
          <t>Lực lượng hải quân của lực lượng vũ trang Nouvelle-Calédonie gồm có những gì?</t>
        </is>
      </c>
      <c r="D57" s="18" t="inlineStr">
        <is>
          <t>hai tàu tuần tra lớp P400, một tàu đổ bộ lớp BATRAL, và một tàu tuần tra của Hiến binh Hàng hải</t>
        </is>
      </c>
      <c r="E57" s="18" t="inlineStr">
        <is>
          <t>hai tàu tuần tra lớp P400, một tàu đổ bộ lớp BATRAL, và một tàu tuần tra của Hiến binh Hàng hải</t>
        </is>
      </c>
      <c r="F57" s="19" t="inlineStr">
        <is>
          <t>✓</t>
        </is>
      </c>
      <c r="G57" s="20" t="n">
        <v>1</v>
      </c>
      <c r="H57" s="18" t="inlineStr">
        <is>
          <t>Khớp chính xác</t>
        </is>
      </c>
    </row>
    <row r="58" ht="38" customHeight="1">
      <c r="A58" s="17" t="n">
        <v>50</v>
      </c>
      <c r="B58" s="17" t="inlineStr">
        <is>
          <t>0004-0019-0005</t>
        </is>
      </c>
      <c r="C58" s="18" t="inlineStr">
        <is>
          <t>Ả Rập Xê Út đã sử dụng bao nhiêu phi cơ F-15 để tuần tra trên bầu trời Hoa Kỳ?</t>
        </is>
      </c>
      <c r="D58" s="18" t="inlineStr">
        <is>
          <t>1994</t>
        </is>
      </c>
      <c r="E58" s="18" t="inlineStr"/>
      <c r="F58" s="21" t="inlineStr">
        <is>
          <t>✗</t>
        </is>
      </c>
      <c r="G58" s="20" t="n">
        <v>0</v>
      </c>
      <c r="H58" s="18" t="inlineStr">
        <is>
          <t>Trả lời khi câu không có đáp án</t>
        </is>
      </c>
    </row>
    <row r="59" ht="52" customHeight="1">
      <c r="A59" s="17" t="n">
        <v>51</v>
      </c>
      <c r="B59" s="17" t="inlineStr">
        <is>
          <t>0007-0006-0003</t>
        </is>
      </c>
      <c r="C59" s="18" t="inlineStr">
        <is>
          <t>Tại sao chính phủ Gruzia lại xóa quyền tự trị của Ossetia?</t>
        </is>
      </c>
      <c r="D59" s="18" t="inlineStr">
        <is>
          <t>Người dân Ossetia đã tẩy chay cuộc bầu cử nghị viện Gruzia sau đó và tổ chức cuộc bầu cử của riêng mình vào tháng 12.</t>
        </is>
      </c>
      <c r="E59" s="18" t="inlineStr">
        <is>
          <t>Người dân Ossetia đã tẩy chay cuộc bầu cử nghị viện Gruzia sau đó và tổ chức cuộc bầu cử của riêng mình</t>
        </is>
      </c>
      <c r="F59" s="21" t="inlineStr">
        <is>
          <t>✗</t>
        </is>
      </c>
      <c r="G59" s="20" t="n">
        <v>0.9387755102040816</v>
      </c>
      <c r="H59" s="18" t="inlineStr">
        <is>
          <t>Không khớp đáp án chuẩn</t>
        </is>
      </c>
    </row>
    <row r="60" ht="30" customHeight="1">
      <c r="A60" s="17" t="n">
        <v>52</v>
      </c>
      <c r="B60" s="17" t="inlineStr">
        <is>
          <t>0017-0071-0002</t>
        </is>
      </c>
      <c r="C60" s="18" t="inlineStr">
        <is>
          <t>Roosevelt đã bổ nhiệm James Farley cho vị trí gì?</t>
        </is>
      </c>
      <c r="D60" s="18" t="inlineStr">
        <is>
          <t>William F</t>
        </is>
      </c>
      <c r="E60" s="18" t="inlineStr">
        <is>
          <t>Bộ trưởng Bưu điện Hoa Kỳ</t>
        </is>
      </c>
      <c r="F60" s="21" t="inlineStr">
        <is>
          <t>✗</t>
        </is>
      </c>
      <c r="G60" s="20" t="n">
        <v>0</v>
      </c>
      <c r="H60" s="18" t="inlineStr">
        <is>
          <t>Không khớp đáp án chuẩn</t>
        </is>
      </c>
    </row>
    <row r="61" ht="38" customHeight="1">
      <c r="A61" s="17" t="n">
        <v>53</v>
      </c>
      <c r="B61" s="17" t="inlineStr">
        <is>
          <t>0012-0040-0001</t>
        </is>
      </c>
      <c r="C61" s="18" t="inlineStr">
        <is>
          <t>Ông cảm thấy điều gì về người Ấn?</t>
        </is>
      </c>
      <c r="D61" s="18" t="inlineStr">
        <is>
          <t>chính là da thịt của mình, máu mủ của mình</t>
        </is>
      </c>
      <c r="E61" s="18" t="inlineStr">
        <is>
          <t>mọi người Ấn chính là da thịt của mình, máu mủ của mình</t>
        </is>
      </c>
      <c r="F61" s="21" t="inlineStr">
        <is>
          <t>✗</t>
        </is>
      </c>
      <c r="G61" s="20" t="n">
        <v>0.8695652173913044</v>
      </c>
      <c r="H61" s="18" t="inlineStr">
        <is>
          <t>Không khớp đáp án chuẩn</t>
        </is>
      </c>
    </row>
    <row r="62" ht="30" customHeight="1">
      <c r="A62" s="17" t="n">
        <v>54</v>
      </c>
      <c r="B62" s="17" t="inlineStr">
        <is>
          <t>0001-0070-0003</t>
        </is>
      </c>
      <c r="C62" s="18" t="inlineStr">
        <is>
          <t>Quán cafe xuất hiện thứ hai ở Paris nằm ở đâu?</t>
        </is>
      </c>
      <c r="D62" s="18" t="inlineStr">
        <is>
          <t>Quận 2 và " François-Mitterrand " ở Quận 13.</t>
        </is>
      </c>
      <c r="E62" s="18" t="inlineStr">
        <is>
          <t>quán Café Procope</t>
        </is>
      </c>
      <c r="F62" s="21" t="inlineStr">
        <is>
          <t>✗</t>
        </is>
      </c>
      <c r="G62" s="20" t="n">
        <v>0</v>
      </c>
      <c r="H62" s="18" t="inlineStr">
        <is>
          <t>Không khớp đáp án chuẩn</t>
        </is>
      </c>
    </row>
    <row r="63" ht="38" customHeight="1">
      <c r="A63" s="17" t="n">
        <v>55</v>
      </c>
      <c r="B63" s="17" t="inlineStr">
        <is>
          <t>0009-0014-0002</t>
        </is>
      </c>
      <c r="C63" s="18" t="inlineStr">
        <is>
          <t>Một trong số ít người để Charles de Gaulle chỉ định làm lãnh đạo chính phủ là ai?</t>
        </is>
      </c>
      <c r="D63" s="18" t="inlineStr">
        <is>
          <t>Mitterrand</t>
        </is>
      </c>
      <c r="E63" s="18" t="inlineStr">
        <is>
          <t>Mitterrand</t>
        </is>
      </c>
      <c r="F63" s="19" t="inlineStr">
        <is>
          <t>✓</t>
        </is>
      </c>
      <c r="G63" s="20" t="n">
        <v>1</v>
      </c>
      <c r="H63" s="18" t="inlineStr">
        <is>
          <t>Khớp chính xác</t>
        </is>
      </c>
    </row>
    <row r="64" ht="38" customHeight="1">
      <c r="A64" s="17" t="n">
        <v>56</v>
      </c>
      <c r="B64" s="17" t="inlineStr">
        <is>
          <t>0004-0003-0005</t>
        </is>
      </c>
      <c r="C64" s="18" t="inlineStr">
        <is>
          <t>Quyền độc lập của Kuwait không được sự chấp thuận của thế lực nào?</t>
        </is>
      </c>
      <c r="D64" s="18" t="inlineStr">
        <is>
          <t>Iraq</t>
        </is>
      </c>
      <c r="E64" s="18" t="inlineStr">
        <is>
          <t>những quan chức Iraq</t>
        </is>
      </c>
      <c r="F64" s="21" t="inlineStr">
        <is>
          <t>✗</t>
        </is>
      </c>
      <c r="G64" s="20" t="n">
        <v>0.4</v>
      </c>
      <c r="H64" s="18" t="inlineStr">
        <is>
          <t>Không khớp đáp án chuẩn</t>
        </is>
      </c>
    </row>
    <row r="65" ht="52" customHeight="1">
      <c r="A65" s="17" t="n">
        <v>57</v>
      </c>
      <c r="B65" s="17" t="inlineStr">
        <is>
          <t>0006-0012-0001</t>
        </is>
      </c>
      <c r="C65" s="18" t="inlineStr">
        <is>
          <t>Tại sao Puerto Rico không được Mỹ ủy quyền?</t>
        </is>
      </c>
      <c r="D65" s="18" t="inlineStr">
        <is>
          <t>không có quyền biểu quyết (non-voting resident commissioner) tại Quốc hội Hoa Kỳ. Tất cả người Puerto Rico đều là công dân Hoa Kỳ</t>
        </is>
      </c>
      <c r="E65" s="18" t="inlineStr"/>
      <c r="F65" s="21" t="inlineStr">
        <is>
          <t>✗</t>
        </is>
      </c>
      <c r="G65" s="20" t="n">
        <v>0</v>
      </c>
      <c r="H65" s="18" t="inlineStr">
        <is>
          <t>Trả lời khi câu không có đáp án</t>
        </is>
      </c>
    </row>
    <row r="66" ht="30" customHeight="1">
      <c r="A66" s="17" t="n">
        <v>58</v>
      </c>
      <c r="B66" s="17" t="inlineStr">
        <is>
          <t>0010-0002-0007</t>
        </is>
      </c>
      <c r="C66" s="18" t="inlineStr">
        <is>
          <t>Ngòai các lọai cỏ và rau, gà tây còn có thể ăn gì?</t>
        </is>
      </c>
      <c r="D66" s="18" t="inlineStr">
        <is>
          <t>ngũ cốc, đậu đỗ, cám bã</t>
        </is>
      </c>
      <c r="E66" s="18" t="inlineStr">
        <is>
          <t>ngũ cốc, đậu đỗ, cám bã</t>
        </is>
      </c>
      <c r="F66" s="19" t="inlineStr">
        <is>
          <t>✓</t>
        </is>
      </c>
      <c r="G66" s="20" t="n">
        <v>1</v>
      </c>
      <c r="H66" s="18" t="inlineStr">
        <is>
          <t>Khớp chính xác</t>
        </is>
      </c>
    </row>
    <row r="67" ht="38" customHeight="1">
      <c r="A67" s="17" t="n">
        <v>59</v>
      </c>
      <c r="B67" s="17" t="inlineStr">
        <is>
          <t>0017-0010-0001</t>
        </is>
      </c>
      <c r="C67" s="18" t="inlineStr">
        <is>
          <t>Trong chiến dịch vận động tranh cử chức Phó Tổng thống năm 1920, trong cái bài diễn văn của mình, Roosevelt đã khẳng định điểu gì?</t>
        </is>
      </c>
      <c r="D67" s="18" t="inlineStr">
        <is>
          <t>James Farley</t>
        </is>
      </c>
      <c r="E67" s="18" t="inlineStr">
        <is>
          <t>chính ông đã sọan bản hiến pháp mà Hoa Kỳ áp đặt cho Haiti năm 1915</t>
        </is>
      </c>
      <c r="F67" s="21" t="inlineStr">
        <is>
          <t>✗</t>
        </is>
      </c>
      <c r="G67" s="20" t="n">
        <v>0</v>
      </c>
      <c r="H67" s="18" t="inlineStr">
        <is>
          <t>Không khớp đáp án chuẩn</t>
        </is>
      </c>
    </row>
    <row r="68" ht="30" customHeight="1">
      <c r="A68" s="17" t="n">
        <v>60</v>
      </c>
      <c r="B68" s="17" t="inlineStr">
        <is>
          <t>0006-0001-0005</t>
        </is>
      </c>
      <c r="C68" s="18" t="inlineStr">
        <is>
          <t>Dân số Puerto Rico là tập hợp của gì?</t>
        </is>
      </c>
      <c r="D68" s="18" t="inlineStr">
        <is>
          <t>khỏang gần 4 triệu người</t>
        </is>
      </c>
      <c r="E68" s="18" t="inlineStr"/>
      <c r="F68" s="21" t="inlineStr">
        <is>
          <t>✗</t>
        </is>
      </c>
      <c r="G68" s="20" t="n">
        <v>0</v>
      </c>
      <c r="H68" s="18" t="inlineStr">
        <is>
          <t>Trả lời khi câu không có đáp án</t>
        </is>
      </c>
    </row>
    <row r="69" ht="30" customHeight="1">
      <c r="A69" s="17" t="n">
        <v>61</v>
      </c>
      <c r="B69" s="17" t="inlineStr">
        <is>
          <t>0009-0008-0004</t>
        </is>
      </c>
      <c r="C69" s="18" t="inlineStr">
        <is>
          <t>Tập hợp tù binh chiến tranh quốc gia đã liên kết với ai?</t>
        </is>
      </c>
      <c r="D69" s="18" t="inlineStr">
        <is>
          <t>Tướng Henri Giraud</t>
        </is>
      </c>
      <c r="E69" s="18" t="inlineStr">
        <is>
          <t>Tướng Henri Giraud</t>
        </is>
      </c>
      <c r="F69" s="19" t="inlineStr">
        <is>
          <t>✓</t>
        </is>
      </c>
      <c r="G69" s="20" t="n">
        <v>1</v>
      </c>
      <c r="H69" s="18" t="inlineStr">
        <is>
          <t>Khớp chính xác</t>
        </is>
      </c>
    </row>
    <row r="70" ht="30" customHeight="1">
      <c r="A70" s="17" t="n">
        <v>62</v>
      </c>
      <c r="B70" s="17" t="inlineStr">
        <is>
          <t>0003-0042-0001</t>
        </is>
      </c>
      <c r="C70" s="18" t="inlineStr">
        <is>
          <t>Dân số của Canada đang phát triển theo xu thế nào?</t>
        </is>
      </c>
      <c r="D70" s="18" t="inlineStr">
        <is>
          <t>11</t>
        </is>
      </c>
      <c r="E70" s="18" t="inlineStr">
        <is>
          <t>dân số già hơn</t>
        </is>
      </c>
      <c r="F70" s="21" t="inlineStr">
        <is>
          <t>✗</t>
        </is>
      </c>
      <c r="G70" s="20" t="n">
        <v>0</v>
      </c>
      <c r="H70" s="18" t="inlineStr">
        <is>
          <t>Không khớp đáp án chuẩn</t>
        </is>
      </c>
    </row>
    <row r="71" ht="38" customHeight="1">
      <c r="A71" s="17" t="n">
        <v>63</v>
      </c>
      <c r="B71" s="17" t="inlineStr">
        <is>
          <t>0017-0054-0004</t>
        </is>
      </c>
      <c r="C71" s="18" t="inlineStr">
        <is>
          <t>Chiến dịch ném bom chiến lược năm 1945, đã gây thiệt hại thế nào cho Đức?</t>
        </is>
      </c>
      <c r="D71" s="18" t="inlineStr">
        <is>
          <t>phá hủy khắp khu vực và gây ra 511 người tử vong</t>
        </is>
      </c>
      <c r="E71" s="18" t="inlineStr"/>
      <c r="F71" s="21" t="inlineStr">
        <is>
          <t>✗</t>
        </is>
      </c>
      <c r="G71" s="20" t="n">
        <v>0</v>
      </c>
      <c r="H71" s="18" t="inlineStr">
        <is>
          <t>Trả lời khi câu không có đáp án</t>
        </is>
      </c>
    </row>
    <row r="72" ht="38" customHeight="1">
      <c r="A72" s="17" t="n">
        <v>64</v>
      </c>
      <c r="B72" s="17" t="inlineStr">
        <is>
          <t>0012-0009-0011</t>
        </is>
      </c>
      <c r="C72" s="18" t="inlineStr">
        <is>
          <t>Gandhi đã khuyên những người Ấn Độ làm gì với nguyên tắc bất bạo lực?</t>
        </is>
      </c>
      <c r="D72" s="18" t="inlineStr">
        <is>
          <t>phản bác luật mới và chịu đựng hình phạt</t>
        </is>
      </c>
      <c r="E72" s="18" t="inlineStr">
        <is>
          <t>phản bác luật mới và chịu đựng hình phạt</t>
        </is>
      </c>
      <c r="F72" s="19" t="inlineStr">
        <is>
          <t>✓</t>
        </is>
      </c>
      <c r="G72" s="20" t="n">
        <v>1</v>
      </c>
      <c r="H72" s="18" t="inlineStr">
        <is>
          <t>Khớp chính xác</t>
        </is>
      </c>
    </row>
    <row r="73" ht="30" customHeight="1">
      <c r="A73" s="17" t="n">
        <v>65</v>
      </c>
      <c r="B73" s="17" t="inlineStr">
        <is>
          <t>0012-0013-0003</t>
        </is>
      </c>
      <c r="C73" s="18" t="inlineStr">
        <is>
          <t>Gandhi tổ chức một nhóm người bao gồm những ai?</t>
        </is>
      </c>
      <c r="D73" s="18" t="inlineStr">
        <is>
          <t>người giúp cố cựu và người mới từ địa phương</t>
        </is>
      </c>
      <c r="E73" s="18" t="inlineStr">
        <is>
          <t>người giúp cố cựu và người mới từ địa phương</t>
        </is>
      </c>
      <c r="F73" s="19" t="inlineStr">
        <is>
          <t>✓</t>
        </is>
      </c>
      <c r="G73" s="20" t="n">
        <v>1</v>
      </c>
      <c r="H73" s="18" t="inlineStr">
        <is>
          <t>Khớp chính xác</t>
        </is>
      </c>
    </row>
    <row r="74" ht="38" customHeight="1">
      <c r="A74" s="17" t="n">
        <v>66</v>
      </c>
      <c r="B74" s="17" t="inlineStr">
        <is>
          <t>0001-0001-0007</t>
        </is>
      </c>
      <c r="C74" s="18" t="inlineStr">
        <is>
          <t>Vị trí địa lý của Paris có gì đặc biệt?</t>
        </is>
      </c>
      <c r="D74" s="18" t="inlineStr">
        <is>
          <t>nhà hàng Jules Verne nằm trên tầng hai của tháp Eiffel</t>
        </is>
      </c>
      <c r="E74" s="18" t="inlineStr">
        <is>
          <t>nằm ở điểm gặp nhau của các hành trình thương mại đường bộ và đường sông</t>
        </is>
      </c>
      <c r="F74" s="21" t="inlineStr">
        <is>
          <t>✗</t>
        </is>
      </c>
      <c r="G74" s="20" t="n">
        <v>0.1481481481481481</v>
      </c>
      <c r="H74" s="18" t="inlineStr">
        <is>
          <t>Không khớp đáp án chuẩn</t>
        </is>
      </c>
    </row>
    <row r="75" ht="38" customHeight="1">
      <c r="A75" s="17" t="n">
        <v>67</v>
      </c>
      <c r="B75" s="17" t="inlineStr">
        <is>
          <t>0001-0070-0001</t>
        </is>
      </c>
      <c r="C75" s="18" t="inlineStr">
        <is>
          <t>Nhờ vào đâu mà hình thức cà phê thềm phát triển?</t>
        </is>
      </c>
      <c r="D75" s="18" t="inlineStr"/>
      <c r="E75" s="18" t="inlineStr">
        <is>
          <t>quy họach lại thành phố cùng sự xuất hiện các đại lộ lớn với vỉa hè</t>
        </is>
      </c>
      <c r="F75" s="21" t="inlineStr">
        <is>
          <t>✗</t>
        </is>
      </c>
      <c r="G75" s="20" t="n">
        <v>0</v>
      </c>
      <c r="H75" s="18" t="inlineStr">
        <is>
          <t>Không trả lời</t>
        </is>
      </c>
    </row>
    <row r="76" ht="38" customHeight="1">
      <c r="A76" s="17" t="n">
        <v>68</v>
      </c>
      <c r="B76" s="17" t="inlineStr">
        <is>
          <t>0006-0009-0004</t>
        </is>
      </c>
      <c r="C76" s="18" t="inlineStr">
        <is>
          <t>Cùng với thượng viện thì cần thêm cơ quan nào nữa để tạo ra một đất nước có quốc hội lưỡng viện như Puerto Rico?</t>
        </is>
      </c>
      <c r="D76" s="18" t="inlineStr">
        <is>
          <t>hạ viện</t>
        </is>
      </c>
      <c r="E76" s="18" t="inlineStr">
        <is>
          <t>hạ viện</t>
        </is>
      </c>
      <c r="F76" s="19" t="inlineStr">
        <is>
          <t>✓</t>
        </is>
      </c>
      <c r="G76" s="20" t="n">
        <v>1</v>
      </c>
      <c r="H76" s="18" t="inlineStr">
        <is>
          <t>Khớp chính xác</t>
        </is>
      </c>
    </row>
    <row r="77" ht="38" customHeight="1">
      <c r="A77" s="17" t="n">
        <v>69</v>
      </c>
      <c r="B77" s="17" t="inlineStr">
        <is>
          <t>0003-0046-0006</t>
        </is>
      </c>
      <c r="C77" s="18" t="inlineStr">
        <is>
          <t>Việc gì góp phần vào việc đưa con số người biết chữ của người dân Canada lên 99%?</t>
        </is>
      </c>
      <c r="D77" s="18" t="inlineStr">
        <is>
          <t>Độ tuổi bắt buộc đến trường có phạm vi từ 5–7 đến 16–18 tuổi</t>
        </is>
      </c>
      <c r="E77" s="18" t="inlineStr">
        <is>
          <t>Độ tuổi bắt buộc đến trường có phạm vi từ 5–7 đến 16–18 tuổi</t>
        </is>
      </c>
      <c r="F77" s="19" t="inlineStr">
        <is>
          <t>✓</t>
        </is>
      </c>
      <c r="G77" s="20" t="n">
        <v>1</v>
      </c>
      <c r="H77" s="18" t="inlineStr">
        <is>
          <t>Khớp chính xác</t>
        </is>
      </c>
    </row>
    <row r="78" ht="30" customHeight="1">
      <c r="A78" s="17" t="n">
        <v>70</v>
      </c>
      <c r="B78" s="17" t="inlineStr">
        <is>
          <t>0012-0001-0004</t>
        </is>
      </c>
      <c r="C78" s="18" t="inlineStr">
        <is>
          <t>Gandhi sinh năm nào?</t>
        </is>
      </c>
      <c r="D78" s="18" t="inlineStr">
        <is>
          <t>1915</t>
        </is>
      </c>
      <c r="E78" s="18" t="inlineStr">
        <is>
          <t>1869</t>
        </is>
      </c>
      <c r="F78" s="21" t="inlineStr">
        <is>
          <t>✗</t>
        </is>
      </c>
      <c r="G78" s="20" t="n">
        <v>0</v>
      </c>
      <c r="H78" s="18" t="inlineStr">
        <is>
          <t>Không khớp đáp án chuẩn</t>
        </is>
      </c>
    </row>
    <row r="79" ht="30" customHeight="1">
      <c r="A79" s="17" t="n">
        <v>71</v>
      </c>
      <c r="B79" s="17" t="inlineStr">
        <is>
          <t>0001-0009-0007</t>
        </is>
      </c>
      <c r="C79" s="18" t="inlineStr">
        <is>
          <t>Việc lọai bỏ cặn CaCO3 đã từ lâu được di dời từ sông Sen đến đâu?</t>
        </is>
      </c>
      <c r="D79" s="18" t="inlineStr"/>
      <c r="E79" s="18" t="inlineStr"/>
      <c r="F79" s="19" t="inlineStr">
        <is>
          <t>✓</t>
        </is>
      </c>
      <c r="G79" s="20" t="n">
        <v>1</v>
      </c>
      <c r="H79" s="18" t="inlineStr">
        <is>
          <t>Đúng khi không trả lời</t>
        </is>
      </c>
    </row>
    <row r="80" ht="38" customHeight="1">
      <c r="A80" s="17" t="n">
        <v>72</v>
      </c>
      <c r="B80" s="17" t="inlineStr">
        <is>
          <t>0015-0040-0001</t>
        </is>
      </c>
      <c r="C80" s="18" t="inlineStr">
        <is>
          <t>Nếu được xếp hạng 1 trong bảng xếp hạng môi trường báo chí thì điều đó đồng nghĩa với điều gì đối với các sinh viên?</t>
        </is>
      </c>
      <c r="D80" s="18" t="inlineStr">
        <is>
          <t>tự do nhất</t>
        </is>
      </c>
      <c r="E80" s="18" t="inlineStr"/>
      <c r="F80" s="21" t="inlineStr">
        <is>
          <t>✗</t>
        </is>
      </c>
      <c r="G80" s="20" t="n">
        <v>0</v>
      </c>
      <c r="H80" s="18" t="inlineStr">
        <is>
          <t>Trả lời khi câu không có đáp án</t>
        </is>
      </c>
    </row>
    <row r="81" ht="52" customHeight="1">
      <c r="A81" s="17" t="n">
        <v>73</v>
      </c>
      <c r="B81" s="17" t="inlineStr">
        <is>
          <t>0017-0060-0005</t>
        </is>
      </c>
      <c r="C81" s="18" t="inlineStr">
        <is>
          <t>Cuộc gặp gỡ giữa Abdulaziz và vua Roosevelt có ý nghĩa như thế nào?</t>
        </is>
      </c>
      <c r="D81" s="18" t="inlineStr">
        <is>
          <t>mang ý nghĩa trọng đại trong quan hệ ngọai giao giữa Hoa Kỳ và Ả Rập Xê Út thậm chí cho đến ngày nay</t>
        </is>
      </c>
      <c r="E81" s="18" t="inlineStr"/>
      <c r="F81" s="21" t="inlineStr">
        <is>
          <t>✗</t>
        </is>
      </c>
      <c r="G81" s="20" t="n">
        <v>0</v>
      </c>
      <c r="H81" s="18" t="inlineStr">
        <is>
          <t>Trả lời khi câu không có đáp án</t>
        </is>
      </c>
    </row>
    <row r="82" ht="38" customHeight="1">
      <c r="A82" s="17" t="n">
        <v>74</v>
      </c>
      <c r="B82" s="17" t="inlineStr">
        <is>
          <t>0019-0015-0005</t>
        </is>
      </c>
      <c r="C82" s="18" t="inlineStr">
        <is>
          <t>Tình hình tại Texas như thế nào trong vòng hai tháng đầu của năm 1836?</t>
        </is>
      </c>
      <c r="D82" s="18" t="inlineStr">
        <is>
          <t>Texas lâm vào tình trạng không có sự quản lý tòan bộ</t>
        </is>
      </c>
      <c r="E82" s="18" t="inlineStr">
        <is>
          <t>Texas lâm vào tình trạng không có sự quản lý tòan bộ</t>
        </is>
      </c>
      <c r="F82" s="19" t="inlineStr">
        <is>
          <t>✓</t>
        </is>
      </c>
      <c r="G82" s="20" t="n">
        <v>1</v>
      </c>
      <c r="H82" s="18" t="inlineStr">
        <is>
          <t>Khớp chính xác</t>
        </is>
      </c>
    </row>
    <row r="83" ht="38" customHeight="1">
      <c r="A83" s="17" t="n">
        <v>75</v>
      </c>
      <c r="B83" s="17" t="inlineStr">
        <is>
          <t>0015-0022-0007</t>
        </is>
      </c>
      <c r="C83" s="18" t="inlineStr">
        <is>
          <t>Điều kiện để nghị viên có thể làm vô hiệu hóa sự ngăn cản từ Tổng thống Mông Cổ đến quyết định của họ là gì?</t>
        </is>
      </c>
      <c r="D83" s="18" t="inlineStr">
        <is>
          <t>biểu quyết thuận với hơn hai phần ba số phiếu</t>
        </is>
      </c>
      <c r="E83" s="18" t="inlineStr">
        <is>
          <t>biểu quyết thuận với hơn hai phần ba số phiếu</t>
        </is>
      </c>
      <c r="F83" s="19" t="inlineStr">
        <is>
          <t>✓</t>
        </is>
      </c>
      <c r="G83" s="20" t="n">
        <v>1</v>
      </c>
      <c r="H83" s="18" t="inlineStr">
        <is>
          <t>Khớp chính xác</t>
        </is>
      </c>
    </row>
    <row r="84" ht="38" customHeight="1">
      <c r="A84" s="17" t="n">
        <v>76</v>
      </c>
      <c r="B84" s="17" t="inlineStr">
        <is>
          <t>0006-0010-0003</t>
        </is>
      </c>
      <c r="C84" s="18" t="inlineStr">
        <is>
          <t>Chính quyền Puerto Rico đã thực hiện nhiều cuộc tấn công nhằm vào nhân vật quan trọng nào của Mỹ?</t>
        </is>
      </c>
      <c r="D84" s="18" t="inlineStr">
        <is>
          <t>tổng thống Harry Truman</t>
        </is>
      </c>
      <c r="E84" s="18" t="inlineStr">
        <is>
          <t>tổng thống Harry Truman</t>
        </is>
      </c>
      <c r="F84" s="19" t="inlineStr">
        <is>
          <t>✓</t>
        </is>
      </c>
      <c r="G84" s="20" t="n">
        <v>1</v>
      </c>
      <c r="H84" s="18" t="inlineStr">
        <is>
          <t>Khớp chính xác</t>
        </is>
      </c>
    </row>
    <row r="85" ht="52" customHeight="1">
      <c r="A85" s="17" t="n">
        <v>77</v>
      </c>
      <c r="B85" s="17" t="inlineStr">
        <is>
          <t>0012-0007-0002</t>
        </is>
      </c>
      <c r="C85" s="18" t="inlineStr">
        <is>
          <t>Tại sao ông bị vất ra khỏi xe lửa tại Pietermaritzburg?</t>
        </is>
      </c>
      <c r="D85" s="18" t="inlineStr">
        <is>
          <t>từ chối chuyển từ toa xe hạng nhất đến toa hạng ba, vốn thường được những người da màu sử dụng mặc dù đã mua vé hạng nhất</t>
        </is>
      </c>
      <c r="E85" s="18" t="inlineStr">
        <is>
          <t>sau khi từ chối chuyển từ toa xe hạng nhất đến toa hạng ba</t>
        </is>
      </c>
      <c r="F85" s="21" t="inlineStr">
        <is>
          <t>✗</t>
        </is>
      </c>
      <c r="G85" s="20" t="n">
        <v>0.5714285714285714</v>
      </c>
      <c r="H85" s="18" t="inlineStr">
        <is>
          <t>Không khớp đáp án chuẩn</t>
        </is>
      </c>
    </row>
    <row r="86" ht="38" customHeight="1">
      <c r="A86" s="17" t="n">
        <v>78</v>
      </c>
      <c r="B86" s="17" t="inlineStr">
        <is>
          <t>0018-0003-0005</t>
        </is>
      </c>
      <c r="C86" s="18" t="inlineStr">
        <is>
          <t>Sau cuộc đảo chính quân sự thành công, chế độ cai trị của chính quyền mới được nhận xét như thế nào?</t>
        </is>
      </c>
      <c r="D86" s="18" t="inlineStr">
        <is>
          <t>chế độ quân chủ chuyên chế</t>
        </is>
      </c>
      <c r="E86" s="18" t="inlineStr">
        <is>
          <t>chế độ cai trị độc tài và khát máu</t>
        </is>
      </c>
      <c r="F86" s="21" t="inlineStr">
        <is>
          <t>✗</t>
        </is>
      </c>
      <c r="G86" s="20" t="n">
        <v>0.2666666666666667</v>
      </c>
      <c r="H86" s="18" t="inlineStr">
        <is>
          <t>Không khớp đáp án chuẩn</t>
        </is>
      </c>
    </row>
    <row r="87" ht="52" customHeight="1">
      <c r="A87" s="17" t="n">
        <v>79</v>
      </c>
      <c r="B87" s="17" t="inlineStr">
        <is>
          <t>0017-0040-0004</t>
        </is>
      </c>
      <c r="C87" s="18" t="inlineStr">
        <is>
          <t>Việc bức điện tín "Good man" được Roosevelt gửi đến cho Neville Chamberlain khi ông này trở về Luân Đôn, đã gây nên tranh cãi gì về ý nghĩa bức điện tín này?</t>
        </is>
      </c>
      <c r="D87" s="18" t="inlineStr">
        <is>
          <t>cho đến nay vẫn còn là chủ đề gây nhiều tranh cãi</t>
        </is>
      </c>
      <c r="E87" s="18" t="inlineStr">
        <is>
          <t>Phần đông ý kiến cho rằng bức điện tín mang ý nghĩa chúc mừng trong khi nhóm thiểu số thì phản bác lời giải nghĩa đó</t>
        </is>
      </c>
      <c r="F87" s="21" t="inlineStr">
        <is>
          <t>✗</t>
        </is>
      </c>
      <c r="G87" s="20" t="n">
        <v>0.05263157894736842</v>
      </c>
      <c r="H87" s="18" t="inlineStr">
        <is>
          <t>Không khớp đáp án chuẩn</t>
        </is>
      </c>
    </row>
    <row r="88" ht="66" customHeight="1">
      <c r="A88" s="17" t="n">
        <v>80</v>
      </c>
      <c r="B88" s="17" t="inlineStr">
        <is>
          <t>0006-0001-0002</t>
        </is>
      </c>
      <c r="C88" s="18" t="inlineStr">
        <is>
          <t>Hòn đảo có diện tích bé nhất trong bốn đảo Đại Antilles tọa lạc ở vị trí nào so với lãnh thổ nước Dominicana?</t>
        </is>
      </c>
      <c r="D88" s="18" t="inlineStr">
        <is>
          <t>Trong nhóm 4 đảo Đại Antilles (bao gồm các đảo Cuba, Hispaniola, Jamaica và Puerto Rico), Puerto Rico là hòn đảo có diện tích nhỏ nhất nhưng lại đứng thứ ba về dân số.</t>
        </is>
      </c>
      <c r="E88" s="18" t="inlineStr">
        <is>
          <t>phía đông</t>
        </is>
      </c>
      <c r="F88" s="21" t="inlineStr">
        <is>
          <t>✗</t>
        </is>
      </c>
      <c r="G88" s="20" t="n">
        <v>0</v>
      </c>
      <c r="H88" s="18" t="inlineStr">
        <is>
          <t>Không khớp đáp án chuẩn</t>
        </is>
      </c>
    </row>
    <row r="89" ht="38" customHeight="1">
      <c r="A89" s="17" t="n">
        <v>81</v>
      </c>
      <c r="B89" s="17" t="inlineStr">
        <is>
          <t>0015-0030-0002</t>
        </is>
      </c>
      <c r="C89" s="18" t="inlineStr">
        <is>
          <t>Điều gì xảy ra trước sự gia tăng về kinh tế và dân số khá trẻ tại Mông Cổ?</t>
        </is>
      </c>
      <c r="D89" s="18" t="inlineStr"/>
      <c r="E89" s="18" t="inlineStr"/>
      <c r="F89" s="19" t="inlineStr">
        <is>
          <t>✓</t>
        </is>
      </c>
      <c r="G89" s="20" t="n">
        <v>1</v>
      </c>
      <c r="H89" s="18" t="inlineStr">
        <is>
          <t>Đúng khi không trả lời</t>
        </is>
      </c>
    </row>
    <row r="90" ht="38" customHeight="1">
      <c r="A90" s="17" t="n">
        <v>82</v>
      </c>
      <c r="B90" s="17" t="inlineStr">
        <is>
          <t>0017-0013-0004</t>
        </is>
      </c>
      <c r="C90" s="18" t="inlineStr">
        <is>
          <t>Việc bị bại liệt khiến cho Roosevelt đã có những quyết định gì khi ông trở thành Tổng thống Hoa Kỳ?</t>
        </is>
      </c>
      <c r="D90" s="18" t="inlineStr">
        <is>
          <t>Roosevelt giúp thành lập Qũy Quốc gia cho Trẻ em bại liệt</t>
        </is>
      </c>
      <c r="E90" s="18" t="inlineStr">
        <is>
          <t>Roosevelt giúp thành lập Qũy Quốc gia cho Trẻ em bại liệt</t>
        </is>
      </c>
      <c r="F90" s="19" t="inlineStr">
        <is>
          <t>✓</t>
        </is>
      </c>
      <c r="G90" s="20" t="n">
        <v>1</v>
      </c>
      <c r="H90" s="18" t="inlineStr">
        <is>
          <t>Khớp chính xác</t>
        </is>
      </c>
    </row>
    <row r="91" ht="80" customHeight="1">
      <c r="A91" s="17" t="n">
        <v>83</v>
      </c>
      <c r="B91" s="17" t="inlineStr">
        <is>
          <t>0017-0015-0003</t>
        </is>
      </c>
      <c r="C91" s="18" t="inlineStr">
        <is>
          <t>Roosevelt đã hàn gắn rào cản cách biệt với Đảng Dân chủ như thế nào?</t>
        </is>
      </c>
      <c r="D91" s="18" t="inlineStr">
        <is>
          <t>Roosevelt duy trì liên lạc và hàn gắn rào cản cách biệt với Đảng Dân chủ trong suốt thập niên 1920, đặc biệt là tại New York</t>
        </is>
      </c>
      <c r="E91" s="18" t="inlineStr">
        <is>
          <t>giúp Alfred E. Smith đắc cử thống đốc tiểu bang New York năm 1922, và thậm chí ông còn là một người ủng hộ tích cực cho Smith chống lại người cháu họ của mình là đảng viên Cộng hòa Theodore Roosevelt, Jr. năm 1924</t>
        </is>
      </c>
      <c r="F91" s="21" t="inlineStr">
        <is>
          <t>✗</t>
        </is>
      </c>
      <c r="G91" s="20" t="n">
        <v>0.1666666666666667</v>
      </c>
      <c r="H91" s="18" t="inlineStr">
        <is>
          <t>Không khớp đáp án chuẩn</t>
        </is>
      </c>
    </row>
    <row r="92" ht="38" customHeight="1">
      <c r="A92" s="17" t="n">
        <v>84</v>
      </c>
      <c r="B92" s="17" t="inlineStr">
        <is>
          <t>0009-0009-0002</t>
        </is>
      </c>
      <c r="C92" s="18" t="inlineStr">
        <is>
          <t>Mitterand đánh giá như thế nào về Masson?</t>
        </is>
      </c>
      <c r="D92" s="18" t="inlineStr">
        <is>
          <t>không có quyền tuyên bố thay mặt các tù binh chiến tranh</t>
        </is>
      </c>
      <c r="E92" s="18" t="inlineStr">
        <is>
          <t>Masson không có quyền tuyên bố thay mặt các tù binh chiến tranh</t>
        </is>
      </c>
      <c r="F92" s="21" t="inlineStr">
        <is>
          <t>✗</t>
        </is>
      </c>
      <c r="G92" s="20" t="n">
        <v>0.9600000000000001</v>
      </c>
      <c r="H92" s="18" t="inlineStr">
        <is>
          <t>Không khớp đáp án chuẩn</t>
        </is>
      </c>
    </row>
    <row r="93" ht="38" customHeight="1">
      <c r="A93" s="17" t="n">
        <v>85</v>
      </c>
      <c r="B93" s="17" t="inlineStr">
        <is>
          <t>0015-0014-0003</t>
        </is>
      </c>
      <c r="C93" s="18" t="inlineStr">
        <is>
          <t>Kết quả dành cho những người lãnh đạo Mông Cổ không chịu thi hành khủng bố Nga theo lệnh người Mông Cổ là gì?</t>
        </is>
      </c>
      <c r="D93" s="18" t="inlineStr">
        <is>
          <t>hành quyết</t>
        </is>
      </c>
      <c r="E93" s="18" t="inlineStr"/>
      <c r="F93" s="21" t="inlineStr">
        <is>
          <t>✗</t>
        </is>
      </c>
      <c r="G93" s="20" t="n">
        <v>0</v>
      </c>
      <c r="H93" s="18" t="inlineStr">
        <is>
          <t>Trả lời khi câu không có đáp án</t>
        </is>
      </c>
    </row>
    <row r="94" ht="30" customHeight="1">
      <c r="A94" s="17" t="n">
        <v>86</v>
      </c>
      <c r="B94" s="17" t="inlineStr">
        <is>
          <t>0005-0007-0001</t>
        </is>
      </c>
      <c r="C94" s="18" t="inlineStr">
        <is>
          <t>Hồng Công là thuộc địa của đế quốc nào ở thế kỷ 20?</t>
        </is>
      </c>
      <c r="D94" s="18" t="inlineStr">
        <is>
          <t>thế kỷ XVII</t>
        </is>
      </c>
      <c r="E94" s="18" t="inlineStr">
        <is>
          <t>Anh</t>
        </is>
      </c>
      <c r="F94" s="21" t="inlineStr">
        <is>
          <t>✗</t>
        </is>
      </c>
      <c r="G94" s="20" t="n">
        <v>0</v>
      </c>
      <c r="H94" s="18" t="inlineStr">
        <is>
          <t>Không khớp đáp án chuẩn</t>
        </is>
      </c>
    </row>
    <row r="95" ht="38" customHeight="1">
      <c r="A95" s="17" t="n">
        <v>87</v>
      </c>
      <c r="B95" s="17" t="inlineStr">
        <is>
          <t>0004-0023-0003</t>
        </is>
      </c>
      <c r="C95" s="18" t="inlineStr">
        <is>
          <t>Để đổi lại sự không can thiệp của Israel vào cuộc chiến, Mỹ đã có thỏa thuận gì với nước này?</t>
        </is>
      </c>
      <c r="D95" s="18" t="inlineStr">
        <is>
          <t>thỏa thuận hạt nhân</t>
        </is>
      </c>
      <c r="E95" s="18" t="inlineStr">
        <is>
          <t>tăng cường viện trợ</t>
        </is>
      </c>
      <c r="F95" s="21" t="inlineStr">
        <is>
          <t>✗</t>
        </is>
      </c>
      <c r="G95" s="20" t="n">
        <v>0</v>
      </c>
      <c r="H95" s="18" t="inlineStr">
        <is>
          <t>Không khớp đáp án chuẩn</t>
        </is>
      </c>
    </row>
    <row r="96" ht="38" customHeight="1">
      <c r="A96" s="17" t="n">
        <v>88</v>
      </c>
      <c r="B96" s="17" t="inlineStr">
        <is>
          <t>0006-0016-0001</t>
        </is>
      </c>
      <c r="C96" s="18" t="inlineStr">
        <is>
          <t>Điểm nào ở các nước Puerto Rico khác hấp dẫn các nhà đầu tư nước ngòai hơn Mỹ Latinh?</t>
        </is>
      </c>
      <c r="D96" s="18" t="inlineStr">
        <is>
          <t>cộng đồng người gốc châu Á với các sắc dân Trung Quốc, Liban</t>
        </is>
      </c>
      <c r="E96" s="18" t="inlineStr"/>
      <c r="F96" s="21" t="inlineStr">
        <is>
          <t>✗</t>
        </is>
      </c>
      <c r="G96" s="20" t="n">
        <v>0</v>
      </c>
      <c r="H96" s="18" t="inlineStr">
        <is>
          <t>Trả lời khi câu không có đáp án</t>
        </is>
      </c>
    </row>
    <row r="97" ht="38" customHeight="1">
      <c r="A97" s="17" t="n">
        <v>89</v>
      </c>
      <c r="B97" s="17" t="inlineStr">
        <is>
          <t>0012-0013-0004</t>
        </is>
      </c>
      <c r="C97" s="18" t="inlineStr">
        <is>
          <t>Những việc hủ nát theo Gandhi là những gì?</t>
        </is>
      </c>
      <c r="D97" s="18" t="inlineStr">
        <is>
          <t>phân biệt tiện dân, bắt phụ nữ mang khăn che</t>
        </is>
      </c>
      <c r="E97" s="18" t="inlineStr">
        <is>
          <t>phân biệt tiện dân, bắt phụ nữ mang khăn che và áp chế họ</t>
        </is>
      </c>
      <c r="F97" s="21" t="inlineStr">
        <is>
          <t>✗</t>
        </is>
      </c>
      <c r="G97" s="20" t="n">
        <v>0.8333333333333333</v>
      </c>
      <c r="H97" s="18" t="inlineStr">
        <is>
          <t>Không khớp đáp án chuẩn</t>
        </is>
      </c>
    </row>
    <row r="98" ht="30" customHeight="1">
      <c r="A98" s="17" t="n">
        <v>90</v>
      </c>
      <c r="B98" s="17" t="inlineStr">
        <is>
          <t>0017-0059-0002</t>
        </is>
      </c>
      <c r="C98" s="18" t="inlineStr">
        <is>
          <t>Ai là người Roosevelt lựa chọn để thay thế cho Wallace?</t>
        </is>
      </c>
      <c r="D98" s="18" t="inlineStr">
        <is>
          <t>Harry S. Truman</t>
        </is>
      </c>
      <c r="E98" s="18" t="inlineStr">
        <is>
          <t>Harry S. Truman</t>
        </is>
      </c>
      <c r="F98" s="19" t="inlineStr">
        <is>
          <t>✓</t>
        </is>
      </c>
      <c r="G98" s="20" t="n">
        <v>1</v>
      </c>
      <c r="H98" s="18" t="inlineStr">
        <is>
          <t>Khớp chính xác</t>
        </is>
      </c>
    </row>
    <row r="99" ht="30" customHeight="1">
      <c r="A99" s="17" t="n">
        <v>91</v>
      </c>
      <c r="B99" s="17" t="inlineStr">
        <is>
          <t>0018-0002-0005</t>
        </is>
      </c>
      <c r="C99" s="18" t="inlineStr">
        <is>
          <t>Năm 1962, sự kiện nào gì đáng chú ý nhất diễn ra tại Uganda?</t>
        </is>
      </c>
      <c r="D99" s="18" t="inlineStr"/>
      <c r="E99" s="18" t="inlineStr">
        <is>
          <t>Uganda giành được độc lập từ Anh</t>
        </is>
      </c>
      <c r="F99" s="21" t="inlineStr">
        <is>
          <t>✗</t>
        </is>
      </c>
      <c r="G99" s="20" t="n">
        <v>0</v>
      </c>
      <c r="H99" s="18" t="inlineStr">
        <is>
          <t>Không trả lời</t>
        </is>
      </c>
    </row>
    <row r="100" ht="38" customHeight="1">
      <c r="A100" s="17" t="n">
        <v>92</v>
      </c>
      <c r="B100" s="17" t="inlineStr">
        <is>
          <t>0003-0006-0001</t>
        </is>
      </c>
      <c r="C100" s="18" t="inlineStr">
        <is>
          <t>Để ngăn chặn sự phản kháng của Mười ba thuộc địa, Tân Pháp đã làm gì?</t>
        </is>
      </c>
      <c r="D100" s="18" t="inlineStr"/>
      <c r="E100" s="18" t="inlineStr"/>
      <c r="F100" s="19" t="inlineStr">
        <is>
          <t>✓</t>
        </is>
      </c>
      <c r="G100" s="20" t="n">
        <v>1</v>
      </c>
      <c r="H100" s="18" t="inlineStr">
        <is>
          <t>Đúng khi không trả lời</t>
        </is>
      </c>
    </row>
    <row r="101" ht="38" customHeight="1">
      <c r="A101" s="17" t="n">
        <v>93</v>
      </c>
      <c r="B101" s="17" t="inlineStr">
        <is>
          <t>0015-0040-0003</t>
        </is>
      </c>
      <c r="C101" s="18" t="inlineStr">
        <is>
          <t>Nếu được xếp hạng 1 trong bảng xếp hạng môi trường báo chí thì điều đó đồng nghĩa với điều gì đối với ngành báo chí?</t>
        </is>
      </c>
      <c r="D101" s="18" t="inlineStr">
        <is>
          <t>tự do nhất</t>
        </is>
      </c>
      <c r="E101" s="18" t="inlineStr">
        <is>
          <t>tự do nhất</t>
        </is>
      </c>
      <c r="F101" s="19" t="inlineStr">
        <is>
          <t>✓</t>
        </is>
      </c>
      <c r="G101" s="20" t="n">
        <v>1</v>
      </c>
      <c r="H101" s="18" t="inlineStr">
        <is>
          <t>Khớp chính xác</t>
        </is>
      </c>
    </row>
    <row r="102" ht="38" customHeight="1">
      <c r="A102" s="17" t="n">
        <v>94</v>
      </c>
      <c r="B102" s="17" t="inlineStr">
        <is>
          <t>0007-0012-0003</t>
        </is>
      </c>
      <c r="C102" s="18" t="inlineStr">
        <is>
          <t>Tổng thống Saakashvili đệ trình lên yêu sách hòa bình vào năm nào?</t>
        </is>
      </c>
      <c r="D102" s="18" t="inlineStr">
        <is>
          <t>năm 2005</t>
        </is>
      </c>
      <c r="E102" s="18" t="inlineStr">
        <is>
          <t>2005</t>
        </is>
      </c>
      <c r="F102" s="21" t="inlineStr">
        <is>
          <t>✗</t>
        </is>
      </c>
      <c r="G102" s="20" t="n">
        <v>0.6666666666666666</v>
      </c>
      <c r="H102" s="18" t="inlineStr">
        <is>
          <t>Không khớp đáp án chuẩn</t>
        </is>
      </c>
    </row>
    <row r="103" ht="30" customHeight="1">
      <c r="A103" s="17" t="n">
        <v>95</v>
      </c>
      <c r="B103" s="17" t="inlineStr">
        <is>
          <t>0015-0032-0007</t>
        </is>
      </c>
      <c r="C103" s="18" t="inlineStr">
        <is>
          <t>Các ngôn ngữ nào được sử dụng tại phía tây Nga?</t>
        </is>
      </c>
      <c r="D103" s="18" t="inlineStr">
        <is>
          <t>tiếng Kazakh và tiếng Tuva</t>
        </is>
      </c>
      <c r="E103" s="18" t="inlineStr"/>
      <c r="F103" s="21" t="inlineStr">
        <is>
          <t>✗</t>
        </is>
      </c>
      <c r="G103" s="20" t="n">
        <v>0</v>
      </c>
      <c r="H103" s="18" t="inlineStr">
        <is>
          <t>Trả lời khi câu không có đáp án</t>
        </is>
      </c>
    </row>
    <row r="104" ht="38" customHeight="1">
      <c r="A104" s="17" t="n">
        <v>96</v>
      </c>
      <c r="B104" s="17" t="inlineStr">
        <is>
          <t>0012-0024-0006</t>
        </is>
      </c>
      <c r="C104" s="18" t="inlineStr">
        <is>
          <t>Bose phê bình Gandhi vì việc gì?</t>
        </is>
      </c>
      <c r="D104" s="18" t="inlineStr">
        <is>
          <t>không thừa nhận nguyên tắc bất bạo lực cũng như dân quyền</t>
        </is>
      </c>
      <c r="E104" s="18" t="inlineStr"/>
      <c r="F104" s="21" t="inlineStr">
        <is>
          <t>✗</t>
        </is>
      </c>
      <c r="G104" s="20" t="n">
        <v>0</v>
      </c>
      <c r="H104" s="18" t="inlineStr">
        <is>
          <t>Trả lời khi câu không có đáp án</t>
        </is>
      </c>
    </row>
    <row r="105" ht="30" customHeight="1">
      <c r="A105" s="17" t="n">
        <v>97</v>
      </c>
      <c r="B105" s="17" t="inlineStr">
        <is>
          <t>0009-0031-0004</t>
        </is>
      </c>
      <c r="C105" s="18" t="inlineStr">
        <is>
          <t>Quốc gia nào có nỗ lực cao nhất về viện trợ phát triển?</t>
        </is>
      </c>
      <c r="D105" s="18" t="inlineStr">
        <is>
          <t>Pháp</t>
        </is>
      </c>
      <c r="E105" s="18" t="inlineStr">
        <is>
          <t>Pháp</t>
        </is>
      </c>
      <c r="F105" s="19" t="inlineStr">
        <is>
          <t>✓</t>
        </is>
      </c>
      <c r="G105" s="20" t="n">
        <v>1</v>
      </c>
      <c r="H105" s="18" t="inlineStr">
        <is>
          <t>Khớp chính xác</t>
        </is>
      </c>
    </row>
    <row r="106" ht="38" customHeight="1">
      <c r="A106" s="17" t="n">
        <v>98</v>
      </c>
      <c r="B106" s="17" t="inlineStr">
        <is>
          <t>0004-0043-0004</t>
        </is>
      </c>
      <c r="C106" s="18" t="inlineStr">
        <is>
          <t>Quốc gia nào đã tham gia cùng với Mỹ trong cuộc xâm chiếm Iraq năm 2003?</t>
        </is>
      </c>
      <c r="D106" s="18" t="inlineStr">
        <is>
          <t>Ả Rập Xê Út</t>
        </is>
      </c>
      <c r="E106" s="18" t="inlineStr">
        <is>
          <t>Anh</t>
        </is>
      </c>
      <c r="F106" s="21" t="inlineStr">
        <is>
          <t>✗</t>
        </is>
      </c>
      <c r="G106" s="20" t="n">
        <v>0</v>
      </c>
      <c r="H106" s="18" t="inlineStr">
        <is>
          <t>Không khớp đáp án chuẩn</t>
        </is>
      </c>
    </row>
    <row r="107" ht="52" customHeight="1">
      <c r="A107" s="17" t="n">
        <v>99</v>
      </c>
      <c r="B107" s="17" t="inlineStr">
        <is>
          <t>0002-0005-0001</t>
        </is>
      </c>
      <c r="C107" s="18" t="inlineStr">
        <is>
          <t>Tất cả những đạo luật được Nouvelle-Calédonie thông qua trong năm 1876-1988 đều tạo nên điều gì?</t>
        </is>
      </c>
      <c r="D107" s="18" t="inlineStr">
        <is>
          <t>gây nên bất mãn và hỗn lọan nghiêm trọng, đỉnh điểm là vào năm 1988 khi xảy ra cuộc bắt cóc con tin đẫm máu tại Ouvéa</t>
        </is>
      </c>
      <c r="E107" s="18" t="inlineStr">
        <is>
          <t>bất mãn và hỗn lọan nghiêm trọng</t>
        </is>
      </c>
      <c r="F107" s="21" t="inlineStr">
        <is>
          <t>✗</t>
        </is>
      </c>
      <c r="G107" s="20" t="n">
        <v>0.4117647058823529</v>
      </c>
      <c r="H107" s="18" t="inlineStr">
        <is>
          <t>Không khớp đáp án chuẩn</t>
        </is>
      </c>
    </row>
    <row r="108" ht="30" customHeight="1">
      <c r="A108" s="17" t="n">
        <v>100</v>
      </c>
      <c r="B108" s="17" t="inlineStr">
        <is>
          <t>0006-0005-0009</t>
        </is>
      </c>
      <c r="C108" s="18" t="inlineStr">
        <is>
          <t>Những người bản địa Puerto Rico gọi lãnh thổ của họ là gì?</t>
        </is>
      </c>
      <c r="D108" s="18" t="inlineStr">
        <is>
          <t>người Taino</t>
        </is>
      </c>
      <c r="E108" s="18" t="inlineStr">
        <is>
          <t>Borikén</t>
        </is>
      </c>
      <c r="F108" s="21" t="inlineStr">
        <is>
          <t>✗</t>
        </is>
      </c>
      <c r="G108" s="20" t="n">
        <v>0</v>
      </c>
      <c r="H108" s="18" t="inlineStr">
        <is>
          <t>Không khớp đáp án chuẩn</t>
        </is>
      </c>
    </row>
  </sheetData>
  <autoFilter ref="A8:H108"/>
  <mergeCells count="11">
    <mergeCell ref="A4:B4"/>
    <mergeCell ref="G4:H4"/>
    <mergeCell ref="E4:F4"/>
    <mergeCell ref="A7:H7"/>
    <mergeCell ref="A2:H2"/>
    <mergeCell ref="C5:D5"/>
    <mergeCell ref="A5:B5"/>
    <mergeCell ref="G5:H5"/>
    <mergeCell ref="E5:F5"/>
    <mergeCell ref="A1:H1"/>
    <mergeCell ref="C4:D4"/>
  </mergeCells>
  <conditionalFormatting sqref="F9:F108">
    <cfRule type="cellIs" priority="1" operator="equal" dxfId="0">
      <formula>"✓"</formula>
    </cfRule>
    <cfRule type="cellIs" priority="2" operator="equal" dxfId="1">
      <formula>"✗"</formula>
    </cfRule>
  </conditionalFormatting>
  <pageMargins left="0.25" right="0.25" top="0.5" bottom="0.5"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101"/>
  <sheetViews>
    <sheetView showGridLines="0" zoomScale="90" workbookViewId="0">
      <pane ySplit="1" topLeftCell="A2" activePane="bottomLeft" state="frozen"/>
      <selection pane="bottomLeft" activeCell="A1" sqref="A1"/>
    </sheetView>
  </sheetViews>
  <sheetFormatPr baseColWidth="8" defaultRowHeight="15"/>
  <cols>
    <col width="7" customWidth="1" min="1" max="1"/>
    <col width="18" customWidth="1" min="2" max="2"/>
    <col width="52" customWidth="1" min="3" max="3"/>
    <col width="34" customWidth="1" min="4" max="4"/>
    <col width="34"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4" customWidth="1" min="16" max="16"/>
    <col width="12" customWidth="1" min="17" max="17"/>
    <col width="48" customWidth="1" min="18" max="18"/>
  </cols>
  <sheetData>
    <row r="1" ht="42" customHeight="1">
      <c r="A1" s="16" t="inlineStr">
        <is>
          <t>STT</t>
        </is>
      </c>
      <c r="B1" s="16" t="inlineStr">
        <is>
          <t>ID</t>
        </is>
      </c>
      <c r="C1" s="16" t="inlineStr">
        <is>
          <t>Câu hỏi</t>
        </is>
      </c>
      <c r="D1" s="16" t="inlineStr">
        <is>
          <t>Đáp án chuẩn</t>
        </is>
      </c>
      <c r="E1" s="16" t="inlineStr">
        <is>
          <t>Đáp án hệ thống</t>
        </is>
      </c>
      <c r="F1" s="16" t="inlineStr">
        <is>
          <t>Exact Match</t>
        </is>
      </c>
      <c r="G1" s="16" t="inlineStr">
        <is>
          <t>F1</t>
        </is>
      </c>
      <c r="H1" s="16" t="inlineStr">
        <is>
          <t>Có đáp án</t>
        </is>
      </c>
      <c r="I1" s="16" t="inlineStr">
        <is>
          <t>Loại câu hỏi</t>
        </is>
      </c>
      <c r="J1" s="16" t="inlineStr">
        <is>
          <t>Phương pháp</t>
        </is>
      </c>
      <c r="K1" s="16" t="inlineStr">
        <is>
          <t>Retrieval hit</t>
        </is>
      </c>
      <c r="L1" s="16" t="inlineStr">
        <is>
          <t>Reader score</t>
        </is>
      </c>
      <c r="M1" s="16" t="inlineStr">
        <is>
          <t>Ranking score</t>
        </is>
      </c>
      <c r="N1" s="16" t="inlineStr">
        <is>
          <t>Answer-type score</t>
        </is>
      </c>
      <c r="O1" s="16" t="inlineStr">
        <is>
          <t>Độ trễ (ms)</t>
        </is>
      </c>
      <c r="P1" s="16" t="inlineStr">
        <is>
          <t>Retriever</t>
        </is>
      </c>
      <c r="Q1" s="16" t="inlineStr">
        <is>
          <t>Reader</t>
        </is>
      </c>
      <c r="R1" s="16" t="inlineStr">
        <is>
          <t>Checkpoint</t>
        </is>
      </c>
    </row>
    <row r="2" ht="24" customHeight="1">
      <c r="A2" s="22" t="n">
        <v>1</v>
      </c>
      <c r="B2" s="22" t="inlineStr">
        <is>
          <t>0009-0029-0005</t>
        </is>
      </c>
      <c r="C2" s="23" t="inlineStr">
        <is>
          <t>Mitterrand muốn duy trì quyền lực của Paris tại lục địa nào?</t>
        </is>
      </c>
      <c r="D2" s="23" t="inlineStr">
        <is>
          <t>châu Phi</t>
        </is>
      </c>
      <c r="E2" s="23" t="inlineStr">
        <is>
          <t>châu Phi</t>
        </is>
      </c>
      <c r="F2" s="22" t="n">
        <v>1</v>
      </c>
      <c r="G2" s="24" t="n">
        <v>1</v>
      </c>
      <c r="H2" s="22" t="b">
        <v>1</v>
      </c>
      <c r="I2" s="22" t="inlineStr">
        <is>
          <t>PERSON</t>
        </is>
      </c>
      <c r="J2" s="22" t="inlineStr">
        <is>
          <t>neural_span</t>
        </is>
      </c>
      <c r="K2" s="22" t="b">
        <v>1</v>
      </c>
      <c r="L2" s="25" t="n">
        <v>0.761677</v>
      </c>
      <c r="M2" s="25" t="n">
        <v>0.852006</v>
      </c>
      <c r="N2" s="25" t="n">
        <v>0.95</v>
      </c>
      <c r="O2" s="26" t="n">
        <v>22080.724900003</v>
      </c>
      <c r="P2" s="22" t="inlineStr">
        <is>
          <t>hybrid</t>
        </is>
      </c>
      <c r="Q2" s="22" t="inlineStr">
        <is>
          <t>xlmr</t>
        </is>
      </c>
      <c r="R2" s="22" t="inlineStr">
        <is>
          <t>D:\GitHub\QA_system\models\reader\xlm-roberta-large-viquad</t>
        </is>
      </c>
    </row>
    <row r="3" ht="24" customHeight="1">
      <c r="A3" s="22" t="n">
        <v>2</v>
      </c>
      <c r="B3" s="22" t="inlineStr">
        <is>
          <t>0009-0001-0009</t>
        </is>
      </c>
      <c r="C3" s="23" t="inlineStr">
        <is>
          <t>Bà ngọai được miêu tả như thế nào?</t>
        </is>
      </c>
      <c r="D3" s="23" t="inlineStr">
        <is>
          <t>một phụ nữ qúy tộc</t>
        </is>
      </c>
      <c r="E3" s="23" t="inlineStr">
        <is>
          <t>Gloriana</t>
        </is>
      </c>
      <c r="F3" s="22" t="n">
        <v>0</v>
      </c>
      <c r="G3" s="24" t="n">
        <v>0</v>
      </c>
      <c r="H3" s="22" t="b">
        <v>1</v>
      </c>
      <c r="I3" s="22" t="inlineStr">
        <is>
          <t>DEFINITION</t>
        </is>
      </c>
      <c r="J3" s="22" t="inlineStr">
        <is>
          <t>phrase_fallback</t>
        </is>
      </c>
      <c r="K3" s="22" t="b">
        <v>0</v>
      </c>
      <c r="L3" s="25" t="n">
        <v>0.61</v>
      </c>
      <c r="M3" s="25" t="n">
        <v>0.725695</v>
      </c>
      <c r="N3" s="25" t="n">
        <v>0.95</v>
      </c>
      <c r="O3" s="26" t="n">
        <v>14842.91070000158</v>
      </c>
      <c r="P3" s="22" t="inlineStr">
        <is>
          <t>hybrid</t>
        </is>
      </c>
      <c r="Q3" s="22" t="inlineStr">
        <is>
          <t>xlmr</t>
        </is>
      </c>
      <c r="R3" s="22" t="inlineStr">
        <is>
          <t>D:\GitHub\QA_system\models\reader\xlm-roberta-large-viquad</t>
        </is>
      </c>
    </row>
    <row r="4" ht="34" customHeight="1">
      <c r="A4" s="22" t="n">
        <v>3</v>
      </c>
      <c r="B4" s="22" t="inlineStr">
        <is>
          <t>0011-0008-0008</t>
        </is>
      </c>
      <c r="C4" s="23" t="inlineStr">
        <is>
          <t>Sự tranh luận về thần học Trung cổ song hành với thần học Ki-tô giáo được gọi là gì?</t>
        </is>
      </c>
      <c r="D4" s="23" t="inlineStr"/>
      <c r="E4" s="23" t="inlineStr">
        <is>
          <t>tranh luận hợp lý. Thần học</t>
        </is>
      </c>
      <c r="F4" s="22" t="n">
        <v>0</v>
      </c>
      <c r="G4" s="24" t="n">
        <v>0</v>
      </c>
      <c r="H4" s="22" t="b">
        <v>0</v>
      </c>
      <c r="I4" s="22" t="inlineStr">
        <is>
          <t>DEFINITION</t>
        </is>
      </c>
      <c r="J4" s="22" t="inlineStr">
        <is>
          <t>neural_span</t>
        </is>
      </c>
      <c r="K4" s="22" t="n"/>
      <c r="L4" s="25" t="n">
        <v>0.266463</v>
      </c>
      <c r="M4" s="25" t="n">
        <v>0.537034</v>
      </c>
      <c r="N4" s="25" t="n">
        <v>0.85</v>
      </c>
      <c r="O4" s="26" t="n">
        <v>15154.23080000328</v>
      </c>
      <c r="P4" s="22" t="inlineStr">
        <is>
          <t>hybrid</t>
        </is>
      </c>
      <c r="Q4" s="22" t="inlineStr">
        <is>
          <t>xlmr</t>
        </is>
      </c>
      <c r="R4" s="22" t="inlineStr">
        <is>
          <t>D:\GitHub\QA_system\models\reader\xlm-roberta-large-viquad</t>
        </is>
      </c>
    </row>
    <row r="5" ht="34" customHeight="1">
      <c r="A5" s="22" t="n">
        <v>4</v>
      </c>
      <c r="B5" s="22" t="inlineStr">
        <is>
          <t>0013-0003-0003</t>
        </is>
      </c>
      <c r="C5" s="23" t="inlineStr">
        <is>
          <t>Chính sách của nhà thờ nước Anh được ông William Laud áp dụng cho những nơi nào?</t>
        </is>
      </c>
      <c r="D5" s="23" t="inlineStr">
        <is>
          <t>tòan thể nước Anh và Scotland</t>
        </is>
      </c>
      <c r="E5" s="23" t="inlineStr">
        <is>
          <t>tòan thể nước Anh và Scotland</t>
        </is>
      </c>
      <c r="F5" s="22" t="n">
        <v>1</v>
      </c>
      <c r="G5" s="24" t="n">
        <v>1</v>
      </c>
      <c r="H5" s="22" t="b">
        <v>1</v>
      </c>
      <c r="I5" s="22" t="inlineStr">
        <is>
          <t>LOCATION</t>
        </is>
      </c>
      <c r="J5" s="22" t="inlineStr">
        <is>
          <t>neural_span</t>
        </is>
      </c>
      <c r="K5" s="22" t="b">
        <v>1</v>
      </c>
      <c r="L5" s="25" t="n">
        <v>0.8160230000000001</v>
      </c>
      <c r="M5" s="25" t="n">
        <v>0.874614</v>
      </c>
      <c r="N5" s="25" t="n">
        <v>0.85</v>
      </c>
      <c r="O5" s="26" t="n">
        <v>16313.99360000127</v>
      </c>
      <c r="P5" s="22" t="inlineStr">
        <is>
          <t>hybrid</t>
        </is>
      </c>
      <c r="Q5" s="22" t="inlineStr">
        <is>
          <t>xlmr</t>
        </is>
      </c>
      <c r="R5" s="22" t="inlineStr">
        <is>
          <t>D:\GitHub\QA_system\models\reader\xlm-roberta-large-viquad</t>
        </is>
      </c>
    </row>
    <row r="6" ht="34" customHeight="1">
      <c r="A6" s="22" t="n">
        <v>5</v>
      </c>
      <c r="B6" s="22" t="inlineStr">
        <is>
          <t>0002-0021-0006</t>
        </is>
      </c>
      <c r="C6" s="23" t="inlineStr">
        <is>
          <t>Houp được tạo ra nhằm kỷ niệm sự kiện gì?</t>
        </is>
      </c>
      <c r="D6" s="23" t="inlineStr"/>
      <c r="E6" s="23" t="inlineStr">
        <is>
          <t>Con gái của Hawking, Lucy chào đời năm 1970</t>
        </is>
      </c>
      <c r="F6" s="22" t="n">
        <v>0</v>
      </c>
      <c r="G6" s="24" t="n">
        <v>0</v>
      </c>
      <c r="H6" s="22" t="b">
        <v>0</v>
      </c>
      <c r="I6" s="22" t="inlineStr">
        <is>
          <t>DEFINITION</t>
        </is>
      </c>
      <c r="J6" s="22" t="inlineStr">
        <is>
          <t>neural_span</t>
        </is>
      </c>
      <c r="K6" s="22" t="n"/>
      <c r="L6" s="25" t="n">
        <v>0.425525</v>
      </c>
      <c r="M6" s="25" t="n">
        <v>0.640315</v>
      </c>
      <c r="N6" s="25" t="n">
        <v>0.85</v>
      </c>
      <c r="O6" s="26" t="n">
        <v>15155.38199999649</v>
      </c>
      <c r="P6" s="22" t="inlineStr">
        <is>
          <t>hybrid</t>
        </is>
      </c>
      <c r="Q6" s="22" t="inlineStr">
        <is>
          <t>xlmr</t>
        </is>
      </c>
      <c r="R6" s="22" t="inlineStr">
        <is>
          <t>D:\GitHub\QA_system\models\reader\xlm-roberta-large-viquad</t>
        </is>
      </c>
    </row>
    <row r="7" ht="34" customHeight="1">
      <c r="A7" s="22" t="n">
        <v>6</v>
      </c>
      <c r="B7" s="22" t="inlineStr">
        <is>
          <t>0004-0042-0001</t>
        </is>
      </c>
      <c r="C7" s="23" t="inlineStr">
        <is>
          <t>Theo số liệu của UNICEF, số lượng người Iraq thiệt mạng mỗi năm tăng thêm bao nhiêu vì lệnh trừng phạt kinh tế?</t>
        </is>
      </c>
      <c r="D7" s="23" t="inlineStr">
        <is>
          <t>90.000</t>
        </is>
      </c>
      <c r="E7" s="23" t="inlineStr">
        <is>
          <t>90.000 người</t>
        </is>
      </c>
      <c r="F7" s="22" t="n">
        <v>0</v>
      </c>
      <c r="G7" s="24" t="n">
        <v>0.8</v>
      </c>
      <c r="H7" s="22" t="b">
        <v>1</v>
      </c>
      <c r="I7" s="22" t="inlineStr">
        <is>
          <t>PERSON</t>
        </is>
      </c>
      <c r="J7" s="22" t="inlineStr">
        <is>
          <t>neural_span</t>
        </is>
      </c>
      <c r="K7" s="22" t="b">
        <v>1</v>
      </c>
      <c r="L7" s="25" t="n">
        <v>0.784035</v>
      </c>
      <c r="M7" s="25" t="n">
        <v>0.870421</v>
      </c>
      <c r="N7" s="25" t="n">
        <v>1</v>
      </c>
      <c r="O7" s="26" t="n">
        <v>25869.23699999903</v>
      </c>
      <c r="P7" s="22" t="inlineStr">
        <is>
          <t>hybrid</t>
        </is>
      </c>
      <c r="Q7" s="22" t="inlineStr">
        <is>
          <t>xlmr</t>
        </is>
      </c>
      <c r="R7" s="22" t="inlineStr">
        <is>
          <t>D:\GitHub\QA_system\models\reader\xlm-roberta-large-viquad</t>
        </is>
      </c>
    </row>
    <row r="8" ht="47" customHeight="1">
      <c r="A8" s="22" t="n">
        <v>7</v>
      </c>
      <c r="B8" s="22" t="inlineStr">
        <is>
          <t>0015-0007-0003</t>
        </is>
      </c>
      <c r="C8" s="23" t="inlineStr">
        <is>
          <t>Lãnh thổ của Đế quốc Mông Cổ kéo dài như thế nào?</t>
        </is>
      </c>
      <c r="D8" s="23" t="inlineStr">
        <is>
          <t>từ Ukraina hiện nay đến bán đảo Triều Tiên, và từ Siberia đến vịnh Oman và Việt Nam hiện nay</t>
        </is>
      </c>
      <c r="E8" s="23" t="inlineStr">
        <is>
          <t>năm 1912</t>
        </is>
      </c>
      <c r="F8" s="22" t="n">
        <v>0</v>
      </c>
      <c r="G8" s="24" t="n">
        <v>0</v>
      </c>
      <c r="H8" s="22" t="b">
        <v>1</v>
      </c>
      <c r="I8" s="22" t="inlineStr">
        <is>
          <t>LOCATION</t>
        </is>
      </c>
      <c r="J8" s="22" t="inlineStr">
        <is>
          <t>phrase_fallback</t>
        </is>
      </c>
      <c r="K8" s="22" t="b">
        <v>1</v>
      </c>
      <c r="L8" s="25" t="n">
        <v>0.7</v>
      </c>
      <c r="M8" s="25" t="n">
        <v>0.704269</v>
      </c>
      <c r="N8" s="25" t="n">
        <v>1</v>
      </c>
      <c r="O8" s="26" t="n">
        <v>44228.55469999916</v>
      </c>
      <c r="P8" s="22" t="inlineStr">
        <is>
          <t>hybrid</t>
        </is>
      </c>
      <c r="Q8" s="22" t="inlineStr">
        <is>
          <t>xlmr</t>
        </is>
      </c>
      <c r="R8" s="22" t="inlineStr">
        <is>
          <t>D:\GitHub\QA_system\models\reader\xlm-roberta-large-viquad</t>
        </is>
      </c>
    </row>
    <row r="9" ht="47" customHeight="1">
      <c r="A9" s="22" t="n">
        <v>8</v>
      </c>
      <c r="B9" s="22" t="inlineStr">
        <is>
          <t>0007-0010-0002</t>
        </is>
      </c>
      <c r="C9" s="23" t="inlineStr">
        <is>
          <t>Javier Solana đã bác bỏ điều gì?</t>
        </is>
      </c>
      <c r="D9" s="23" t="inlineStr">
        <is>
          <t>bác bỏ khả năng thay thế binh lính gìn giữ hòa bình Nga bằng lực lượng của Liên minh châu Âu</t>
        </is>
      </c>
      <c r="E9" s="23" t="inlineStr"/>
      <c r="F9" s="22" t="n">
        <v>0</v>
      </c>
      <c r="G9" s="24" t="n">
        <v>0</v>
      </c>
      <c r="H9" s="22" t="b">
        <v>1</v>
      </c>
      <c r="I9" s="22" t="inlineStr">
        <is>
          <t>PERSON</t>
        </is>
      </c>
      <c r="J9" s="22" t="inlineStr">
        <is>
          <t>no_answer</t>
        </is>
      </c>
      <c r="K9" s="22" t="b">
        <v>1</v>
      </c>
      <c r="L9" s="25" t="n">
        <v>0</v>
      </c>
      <c r="M9" s="25" t="n">
        <v>0.4754596</v>
      </c>
      <c r="N9" s="25" t="n">
        <v>0.55</v>
      </c>
      <c r="O9" s="26" t="n">
        <v>22692.28449999733</v>
      </c>
      <c r="P9" s="22" t="inlineStr">
        <is>
          <t>hybrid</t>
        </is>
      </c>
      <c r="Q9" s="22" t="inlineStr">
        <is>
          <t>xlmr</t>
        </is>
      </c>
      <c r="R9" s="22" t="inlineStr">
        <is>
          <t>D:\GitHub\QA_system\models\reader\xlm-roberta-large-viquad</t>
        </is>
      </c>
    </row>
    <row r="10" ht="34" customHeight="1">
      <c r="A10" s="22" t="n">
        <v>9</v>
      </c>
      <c r="B10" s="22" t="inlineStr">
        <is>
          <t>0017-0025-0006</t>
        </is>
      </c>
      <c r="C10" s="23" t="inlineStr">
        <is>
          <t>Cơ quan Quản trị Tiến trình Xây dựng Công chánh được thành lập với mục đích gì?</t>
        </is>
      </c>
      <c r="D10" s="23" t="inlineStr">
        <is>
          <t>thiết lập ban cứu nguy quốc gia để thuê mướn 2 triệu gia trưởng trên tòan quốc</t>
        </is>
      </c>
      <c r="E10" s="23" t="inlineStr">
        <is>
          <t>cung cấp việc làm lương cao và xây dựng cơ sở hạ tầng</t>
        </is>
      </c>
      <c r="F10" s="22" t="n">
        <v>0</v>
      </c>
      <c r="G10" s="24" t="n">
        <v>0</v>
      </c>
      <c r="H10" s="22" t="b">
        <v>1</v>
      </c>
      <c r="I10" s="22" t="inlineStr">
        <is>
          <t>DEFINITION</t>
        </is>
      </c>
      <c r="J10" s="22" t="inlineStr">
        <is>
          <t>phrase_fallback</t>
        </is>
      </c>
      <c r="K10" s="22" t="b">
        <v>1</v>
      </c>
      <c r="L10" s="25" t="n">
        <v>0.7</v>
      </c>
      <c r="M10" s="25" t="n">
        <v>0.7315</v>
      </c>
      <c r="N10" s="25" t="n">
        <v>0.85</v>
      </c>
      <c r="O10" s="26" t="n">
        <v>15879.6124000001</v>
      </c>
      <c r="P10" s="22" t="inlineStr">
        <is>
          <t>hybrid</t>
        </is>
      </c>
      <c r="Q10" s="22" t="inlineStr">
        <is>
          <t>xlmr</t>
        </is>
      </c>
      <c r="R10" s="22" t="inlineStr">
        <is>
          <t>D:\GitHub\QA_system\models\reader\xlm-roberta-large-viquad</t>
        </is>
      </c>
    </row>
    <row r="11" ht="47" customHeight="1">
      <c r="A11" s="22" t="n">
        <v>10</v>
      </c>
      <c r="B11" s="22" t="inlineStr">
        <is>
          <t>0015-0020-0004</t>
        </is>
      </c>
      <c r="C11" s="23" t="inlineStr">
        <is>
          <t>Hiện nay, Mông Cổ là nước như thế nào?</t>
        </is>
      </c>
      <c r="D11" s="23" t="inlineStr">
        <is>
          <t>một nước cộng hòa dân chủ đại nghị bán tổng thống, theo đó tổng thống được bầu cử trực tiếp</t>
        </is>
      </c>
      <c r="E11" s="23" t="inlineStr">
        <is>
          <t>một nước cộng hòa dân chủ đại nghị bán tổng thống</t>
        </is>
      </c>
      <c r="F11" s="22" t="n">
        <v>0</v>
      </c>
      <c r="G11" s="24" t="n">
        <v>0.7096774193548387</v>
      </c>
      <c r="H11" s="22" t="b">
        <v>1</v>
      </c>
      <c r="I11" s="22" t="inlineStr">
        <is>
          <t>LOCATION</t>
        </is>
      </c>
      <c r="J11" s="22" t="inlineStr">
        <is>
          <t>neural_span</t>
        </is>
      </c>
      <c r="K11" s="22" t="b">
        <v>1</v>
      </c>
      <c r="L11" s="25" t="n">
        <v>0.774784</v>
      </c>
      <c r="M11" s="25" t="n">
        <v>0.84987</v>
      </c>
      <c r="N11" s="25" t="n">
        <v>0.85</v>
      </c>
      <c r="O11" s="26" t="n">
        <v>14267.59870000114</v>
      </c>
      <c r="P11" s="22" t="inlineStr">
        <is>
          <t>hybrid</t>
        </is>
      </c>
      <c r="Q11" s="22" t="inlineStr">
        <is>
          <t>xlmr</t>
        </is>
      </c>
      <c r="R11" s="22" t="inlineStr">
        <is>
          <t>D:\GitHub\QA_system\models\reader\xlm-roberta-large-viquad</t>
        </is>
      </c>
    </row>
    <row r="12" ht="24" customHeight="1">
      <c r="A12" s="22" t="n">
        <v>11</v>
      </c>
      <c r="B12" s="22" t="inlineStr">
        <is>
          <t>0003-0013-0001</t>
        </is>
      </c>
      <c r="C12" s="23" t="inlineStr">
        <is>
          <t>Ngôn ngữ nào phổ biến ở Ontario?</t>
        </is>
      </c>
      <c r="D12" s="23" t="inlineStr">
        <is>
          <t>Anh ngữ</t>
        </is>
      </c>
      <c r="E12" s="23" t="inlineStr">
        <is>
          <t>Pháp ngữ 1977 xác định tiếng Pháp</t>
        </is>
      </c>
      <c r="F12" s="22" t="n">
        <v>0</v>
      </c>
      <c r="G12" s="24" t="n">
        <v>0.2222222222222222</v>
      </c>
      <c r="H12" s="22" t="b">
        <v>1</v>
      </c>
      <c r="I12" s="22" t="inlineStr">
        <is>
          <t>DEFINITION</t>
        </is>
      </c>
      <c r="J12" s="22" t="inlineStr">
        <is>
          <t>neural_span</t>
        </is>
      </c>
      <c r="K12" s="22" t="b">
        <v>1</v>
      </c>
      <c r="L12" s="25" t="n">
        <v>0.588704</v>
      </c>
      <c r="M12" s="25" t="n">
        <v>0.738222</v>
      </c>
      <c r="N12" s="25" t="n">
        <v>0.85</v>
      </c>
      <c r="O12" s="26" t="n">
        <v>13490.11540000478</v>
      </c>
      <c r="P12" s="22" t="inlineStr">
        <is>
          <t>hybrid</t>
        </is>
      </c>
      <c r="Q12" s="22" t="inlineStr">
        <is>
          <t>xlmr</t>
        </is>
      </c>
      <c r="R12" s="22" t="inlineStr">
        <is>
          <t>D:\GitHub\QA_system\models\reader\xlm-roberta-large-viquad</t>
        </is>
      </c>
    </row>
    <row r="13" ht="34" customHeight="1">
      <c r="A13" s="22" t="n">
        <v>12</v>
      </c>
      <c r="B13" s="22" t="inlineStr">
        <is>
          <t>0006-0015-0004</t>
        </is>
      </c>
      <c r="C13" s="23" t="inlineStr">
        <is>
          <t>Ngành gì chiếm vị trí quan trọng trong kinh tế của Puerto Rico từ thế kỉ XX trở về trước?</t>
        </is>
      </c>
      <c r="D13" s="23" t="inlineStr">
        <is>
          <t>ngành trồng và xuất khẩu mía đường</t>
        </is>
      </c>
      <c r="E13" s="23" t="inlineStr">
        <is>
          <t>ngành trồng và xuất khẩu mía đường</t>
        </is>
      </c>
      <c r="F13" s="22" t="n">
        <v>1</v>
      </c>
      <c r="G13" s="24" t="n">
        <v>1</v>
      </c>
      <c r="H13" s="22" t="b">
        <v>1</v>
      </c>
      <c r="I13" s="22" t="inlineStr">
        <is>
          <t>GENERAL</t>
        </is>
      </c>
      <c r="J13" s="22" t="inlineStr">
        <is>
          <t>neural_span</t>
        </is>
      </c>
      <c r="K13" s="22" t="b">
        <v>1</v>
      </c>
      <c r="L13" s="25" t="n">
        <v>0.675459</v>
      </c>
      <c r="M13" s="25" t="n">
        <v>0.74741</v>
      </c>
      <c r="N13" s="25" t="n">
        <v>0.5</v>
      </c>
      <c r="O13" s="26" t="n">
        <v>14856.3048000019</v>
      </c>
      <c r="P13" s="22" t="inlineStr">
        <is>
          <t>hybrid</t>
        </is>
      </c>
      <c r="Q13" s="22" t="inlineStr">
        <is>
          <t>xlmr</t>
        </is>
      </c>
      <c r="R13" s="22" t="inlineStr">
        <is>
          <t>D:\GitHub\QA_system\models\reader\xlm-roberta-large-viquad</t>
        </is>
      </c>
    </row>
    <row r="14" ht="24" customHeight="1">
      <c r="A14" s="22" t="n">
        <v>13</v>
      </c>
      <c r="B14" s="22" t="inlineStr">
        <is>
          <t>0001-0061-0001</t>
        </is>
      </c>
      <c r="C14" s="23" t="inlineStr">
        <is>
          <t>Những khu rừng nào nằm ở phía Đông và Tây trong nội thành Paris?</t>
        </is>
      </c>
      <c r="D14" s="23" t="inlineStr">
        <is>
          <t>Rừng Boulogne và rừng Vincennes</t>
        </is>
      </c>
      <c r="E14" s="23" t="inlineStr"/>
      <c r="F14" s="22" t="n">
        <v>0</v>
      </c>
      <c r="G14" s="24" t="n">
        <v>0</v>
      </c>
      <c r="H14" s="22" t="b">
        <v>1</v>
      </c>
      <c r="I14" s="22" t="inlineStr">
        <is>
          <t>LOCATION</t>
        </is>
      </c>
      <c r="J14" s="22" t="inlineStr">
        <is>
          <t>no_answer</t>
        </is>
      </c>
      <c r="K14" s="22" t="b">
        <v>1</v>
      </c>
      <c r="L14" s="25" t="n">
        <v>0</v>
      </c>
      <c r="M14" s="25" t="n">
        <v>0.5333361999999999</v>
      </c>
      <c r="N14" s="25" t="n">
        <v>0.85</v>
      </c>
      <c r="O14" s="26" t="n">
        <v>14441.37189999892</v>
      </c>
      <c r="P14" s="22" t="inlineStr">
        <is>
          <t>hybrid</t>
        </is>
      </c>
      <c r="Q14" s="22" t="inlineStr">
        <is>
          <t>xlmr</t>
        </is>
      </c>
      <c r="R14" s="22" t="inlineStr">
        <is>
          <t>D:\GitHub\QA_system\models\reader\xlm-roberta-large-viquad</t>
        </is>
      </c>
    </row>
    <row r="15" ht="34" customHeight="1">
      <c r="A15" s="22" t="n">
        <v>14</v>
      </c>
      <c r="B15" s="22" t="inlineStr">
        <is>
          <t>0001-0022-0001</t>
        </is>
      </c>
      <c r="C15" s="23" t="inlineStr">
        <is>
          <t>Vì sao nhà vua phải bỏ cung điện owrVersailles để về Paris?</t>
        </is>
      </c>
      <c r="D15" s="23" t="inlineStr">
        <is>
          <t>những người nổi dậy tới Versailles</t>
        </is>
      </c>
      <c r="E15" s="23" t="inlineStr">
        <is>
          <t>những người nổi dậy tới Versailles vào buổi tối. Sáng ngày 6, họ chiếm lâu đài</t>
        </is>
      </c>
      <c r="F15" s="22" t="n">
        <v>0</v>
      </c>
      <c r="G15" s="24" t="n">
        <v>0.5454545454545454</v>
      </c>
      <c r="H15" s="22" t="b">
        <v>1</v>
      </c>
      <c r="I15" s="22" t="inlineStr">
        <is>
          <t>GENERAL</t>
        </is>
      </c>
      <c r="J15" s="22" t="inlineStr">
        <is>
          <t>neural_span</t>
        </is>
      </c>
      <c r="K15" s="22" t="b">
        <v>1</v>
      </c>
      <c r="L15" s="25" t="n">
        <v>0.72641</v>
      </c>
      <c r="M15" s="25" t="n">
        <v>0.720469</v>
      </c>
      <c r="N15" s="25" t="n">
        <v>0.5</v>
      </c>
      <c r="O15" s="26" t="n">
        <v>16538.40439999953</v>
      </c>
      <c r="P15" s="22" t="inlineStr">
        <is>
          <t>hybrid</t>
        </is>
      </c>
      <c r="Q15" s="22" t="inlineStr">
        <is>
          <t>xlmr</t>
        </is>
      </c>
      <c r="R15" s="22" t="inlineStr">
        <is>
          <t>D:\GitHub\QA_system\models\reader\xlm-roberta-large-viquad</t>
        </is>
      </c>
    </row>
    <row r="16" ht="34" customHeight="1">
      <c r="A16" s="22" t="n">
        <v>15</v>
      </c>
      <c r="B16" s="22" t="inlineStr">
        <is>
          <t>0019-0028-0003</t>
        </is>
      </c>
      <c r="C16" s="23" t="inlineStr">
        <is>
          <t>Cuộc bầu cử tổng thống Hoa Kỳ năm 2008, ai là người đã dành chiến thắng tại Texas?</t>
        </is>
      </c>
      <c r="D16" s="23" t="inlineStr">
        <is>
          <t>John McCain</t>
        </is>
      </c>
      <c r="E16" s="23" t="inlineStr">
        <is>
          <t>John McCain</t>
        </is>
      </c>
      <c r="F16" s="22" t="n">
        <v>1</v>
      </c>
      <c r="G16" s="24" t="n">
        <v>1</v>
      </c>
      <c r="H16" s="22" t="b">
        <v>1</v>
      </c>
      <c r="I16" s="22" t="inlineStr">
        <is>
          <t>LOCATION</t>
        </is>
      </c>
      <c r="J16" s="22" t="inlineStr">
        <is>
          <t>neural_span</t>
        </is>
      </c>
      <c r="K16" s="22" t="b">
        <v>1</v>
      </c>
      <c r="L16" s="25" t="n">
        <v>0.839758</v>
      </c>
      <c r="M16" s="25" t="n">
        <v>0.863855</v>
      </c>
      <c r="N16" s="25" t="n">
        <v>0.6</v>
      </c>
      <c r="O16" s="26" t="n">
        <v>21983.8121000008</v>
      </c>
      <c r="P16" s="22" t="inlineStr">
        <is>
          <t>hybrid</t>
        </is>
      </c>
      <c r="Q16" s="22" t="inlineStr">
        <is>
          <t>xlmr</t>
        </is>
      </c>
      <c r="R16" s="22" t="inlineStr">
        <is>
          <t>D:\GitHub\QA_system\models\reader\xlm-roberta-large-viquad</t>
        </is>
      </c>
    </row>
    <row r="17" ht="47" customHeight="1">
      <c r="A17" s="22" t="n">
        <v>16</v>
      </c>
      <c r="B17" s="22" t="inlineStr">
        <is>
          <t>0002-0002-0001</t>
        </is>
      </c>
      <c r="C17" s="23" t="inlineStr">
        <is>
          <t>Trong 4.200 tù nhân chính trị được đưa đến Nouvelle- Calédonie từ năm 1873 đến 1876 thì thì có bao nhiêu người định cư tại thuộc địa?</t>
        </is>
      </c>
      <c r="D17" s="23" t="inlineStr">
        <is>
          <t>40</t>
        </is>
      </c>
      <c r="E17" s="23" t="inlineStr">
        <is>
          <t>năm 1897</t>
        </is>
      </c>
      <c r="F17" s="22" t="n">
        <v>0</v>
      </c>
      <c r="G17" s="24" t="n">
        <v>0</v>
      </c>
      <c r="H17" s="22" t="b">
        <v>1</v>
      </c>
      <c r="I17" s="22" t="inlineStr">
        <is>
          <t>TIME</t>
        </is>
      </c>
      <c r="J17" s="22" t="inlineStr">
        <is>
          <t>phrase_fallback</t>
        </is>
      </c>
      <c r="K17" s="22" t="b">
        <v>1</v>
      </c>
      <c r="L17" s="25" t="n">
        <v>0.7</v>
      </c>
      <c r="M17" s="25" t="n">
        <v>0.82</v>
      </c>
      <c r="N17" s="25" t="n">
        <v>1</v>
      </c>
      <c r="O17" s="26" t="n">
        <v>47150.97169999871</v>
      </c>
      <c r="P17" s="22" t="inlineStr">
        <is>
          <t>hybrid</t>
        </is>
      </c>
      <c r="Q17" s="22" t="inlineStr">
        <is>
          <t>xlmr</t>
        </is>
      </c>
      <c r="R17" s="22" t="inlineStr">
        <is>
          <t>D:\GitHub\QA_system\models\reader\xlm-roberta-large-viquad</t>
        </is>
      </c>
    </row>
    <row r="18" ht="34" customHeight="1">
      <c r="A18" s="22" t="n">
        <v>17</v>
      </c>
      <c r="B18" s="22" t="inlineStr">
        <is>
          <t>0015-0035-0002</t>
        </is>
      </c>
      <c r="C18" s="23" t="inlineStr">
        <is>
          <t>Ngòai vật ra thì còn có môn thể thao nào góp mặt trong lễ hội Naadam?</t>
        </is>
      </c>
      <c r="D18" s="23" t="inlineStr">
        <is>
          <t>Mông Cổ, bắn cung, đua ngựa</t>
        </is>
      </c>
      <c r="E18" s="23" t="inlineStr">
        <is>
          <t>bắn cung, đua ngựa</t>
        </is>
      </c>
      <c r="F18" s="22" t="n">
        <v>0</v>
      </c>
      <c r="G18" s="24" t="n">
        <v>0.8</v>
      </c>
      <c r="H18" s="22" t="b">
        <v>1</v>
      </c>
      <c r="I18" s="22" t="inlineStr">
        <is>
          <t>GENERAL</t>
        </is>
      </c>
      <c r="J18" s="22" t="inlineStr">
        <is>
          <t>neural_span</t>
        </is>
      </c>
      <c r="K18" s="22" t="b">
        <v>1</v>
      </c>
      <c r="L18" s="25" t="n">
        <v>0.797185</v>
      </c>
      <c r="M18" s="25" t="n">
        <v>0.826067</v>
      </c>
      <c r="N18" s="25" t="n">
        <v>0.5</v>
      </c>
      <c r="O18" s="26" t="n">
        <v>47857.46519999922</v>
      </c>
      <c r="P18" s="22" t="inlineStr">
        <is>
          <t>hybrid</t>
        </is>
      </c>
      <c r="Q18" s="22" t="inlineStr">
        <is>
          <t>xlmr</t>
        </is>
      </c>
      <c r="R18" s="22" t="inlineStr">
        <is>
          <t>D:\GitHub\QA_system\models\reader\xlm-roberta-large-viquad</t>
        </is>
      </c>
    </row>
    <row r="19" ht="34" customHeight="1">
      <c r="A19" s="22" t="n">
        <v>18</v>
      </c>
      <c r="B19" s="22" t="inlineStr">
        <is>
          <t>0017-0028-0002</t>
        </is>
      </c>
      <c r="C19" s="23" t="inlineStr">
        <is>
          <t>Các nhà kinh tế học đề nghị giải pháp gì để giải quyết nền kinh tế Mĩ lúc bấy giờ?</t>
        </is>
      </c>
      <c r="D19" s="23" t="inlineStr">
        <is>
          <t>Chi tiêu thâm thủng</t>
        </is>
      </c>
      <c r="E19" s="23" t="inlineStr">
        <is>
          <t>ngôn ngữ lý thuyết trò chơi và lý thuyết về các cân bằng tổng quát cho kinh tế</t>
        </is>
      </c>
      <c r="F19" s="22" t="n">
        <v>0</v>
      </c>
      <c r="G19" s="24" t="n">
        <v>0</v>
      </c>
      <c r="H19" s="22" t="b">
        <v>1</v>
      </c>
      <c r="I19" s="22" t="inlineStr">
        <is>
          <t>GENERAL</t>
        </is>
      </c>
      <c r="J19" s="22" t="inlineStr">
        <is>
          <t>neural_span</t>
        </is>
      </c>
      <c r="K19" s="22" t="b">
        <v>0</v>
      </c>
      <c r="L19" s="25" t="n">
        <v>0.683696</v>
      </c>
      <c r="M19" s="25" t="n">
        <v>0.7602179999999999</v>
      </c>
      <c r="N19" s="25" t="n">
        <v>0.5</v>
      </c>
      <c r="O19" s="26" t="n">
        <v>44490.01989999996</v>
      </c>
      <c r="P19" s="22" t="inlineStr">
        <is>
          <t>hybrid</t>
        </is>
      </c>
      <c r="Q19" s="22" t="inlineStr">
        <is>
          <t>xlmr</t>
        </is>
      </c>
      <c r="R19" s="22" t="inlineStr">
        <is>
          <t>D:\GitHub\QA_system\models\reader\xlm-roberta-large-viquad</t>
        </is>
      </c>
    </row>
    <row r="20" ht="24" customHeight="1">
      <c r="A20" s="22" t="n">
        <v>19</v>
      </c>
      <c r="B20" s="22" t="inlineStr">
        <is>
          <t>0003-0006-0003</t>
        </is>
      </c>
      <c r="C20" s="23" t="inlineStr">
        <is>
          <t>Khi nào thì Canada được thống nhất thành một tỉnh?</t>
        </is>
      </c>
      <c r="D20" s="23" t="inlineStr">
        <is>
          <t>năm 1841</t>
        </is>
      </c>
      <c r="E20" s="23" t="inlineStr">
        <is>
          <t>Đạo luật Liên minh 1840</t>
        </is>
      </c>
      <c r="F20" s="22" t="n">
        <v>0</v>
      </c>
      <c r="G20" s="24" t="n">
        <v>0</v>
      </c>
      <c r="H20" s="22" t="b">
        <v>1</v>
      </c>
      <c r="I20" s="22" t="inlineStr">
        <is>
          <t>LOCATION</t>
        </is>
      </c>
      <c r="J20" s="22" t="inlineStr">
        <is>
          <t>neural_span</t>
        </is>
      </c>
      <c r="K20" s="22" t="b">
        <v>1</v>
      </c>
      <c r="L20" s="25" t="n">
        <v>0.7446970000000001</v>
      </c>
      <c r="M20" s="25" t="n">
        <v>0.8318179999999999</v>
      </c>
      <c r="N20" s="25" t="n">
        <v>0.85</v>
      </c>
      <c r="O20" s="26" t="n">
        <v>36543.7918000028</v>
      </c>
      <c r="P20" s="22" t="inlineStr">
        <is>
          <t>hybrid</t>
        </is>
      </c>
      <c r="Q20" s="22" t="inlineStr">
        <is>
          <t>xlmr</t>
        </is>
      </c>
      <c r="R20" s="22" t="inlineStr">
        <is>
          <t>D:\GitHub\QA_system\models\reader\xlm-roberta-large-viquad</t>
        </is>
      </c>
    </row>
    <row r="21" ht="24" customHeight="1">
      <c r="A21" s="22" t="n">
        <v>20</v>
      </c>
      <c r="B21" s="22" t="inlineStr">
        <is>
          <t>0012-0006-0003</t>
        </is>
      </c>
      <c r="C21" s="23" t="inlineStr">
        <is>
          <t>Ông trở về Ấn Độ từ khi nào?</t>
        </is>
      </c>
      <c r="D21" s="23" t="inlineStr">
        <is>
          <t>tháng 6 năm 1891</t>
        </is>
      </c>
      <c r="E21" s="23" t="inlineStr">
        <is>
          <t>tháng 6 năm 1891</t>
        </is>
      </c>
      <c r="F21" s="22" t="n">
        <v>1</v>
      </c>
      <c r="G21" s="24" t="n">
        <v>1</v>
      </c>
      <c r="H21" s="22" t="b">
        <v>1</v>
      </c>
      <c r="I21" s="22" t="inlineStr">
        <is>
          <t>DEFINITION</t>
        </is>
      </c>
      <c r="J21" s="22" t="inlineStr">
        <is>
          <t>neural_span</t>
        </is>
      </c>
      <c r="K21" s="22" t="b">
        <v>1</v>
      </c>
      <c r="L21" s="25" t="n">
        <v>0.7844370000000001</v>
      </c>
      <c r="M21" s="25" t="n">
        <v>0.870662</v>
      </c>
      <c r="N21" s="25" t="n">
        <v>1</v>
      </c>
      <c r="O21" s="26" t="n">
        <v>58777.90320000122</v>
      </c>
      <c r="P21" s="22" t="inlineStr">
        <is>
          <t>hybrid</t>
        </is>
      </c>
      <c r="Q21" s="22" t="inlineStr">
        <is>
          <t>xlmr</t>
        </is>
      </c>
      <c r="R21" s="22" t="inlineStr">
        <is>
          <t>D:\GitHub\QA_system\models\reader\xlm-roberta-large-viquad</t>
        </is>
      </c>
    </row>
    <row r="22" ht="24" customHeight="1">
      <c r="A22" s="22" t="n">
        <v>21</v>
      </c>
      <c r="B22" s="22" t="inlineStr">
        <is>
          <t>0004-0033-0001</t>
        </is>
      </c>
      <c r="C22" s="23" t="inlineStr">
        <is>
          <t>Phe liên minh có trang bị gì hiện đại hơn Lực lượng Iraq?</t>
        </is>
      </c>
      <c r="D22" s="23" t="inlineStr"/>
      <c r="E22" s="23" t="inlineStr">
        <is>
          <t>công nghệ</t>
        </is>
      </c>
      <c r="F22" s="22" t="n">
        <v>0</v>
      </c>
      <c r="G22" s="24" t="n">
        <v>0</v>
      </c>
      <c r="H22" s="22" t="b">
        <v>0</v>
      </c>
      <c r="I22" s="22" t="inlineStr">
        <is>
          <t>DEFINITION</t>
        </is>
      </c>
      <c r="J22" s="22" t="inlineStr">
        <is>
          <t>neural_span</t>
        </is>
      </c>
      <c r="K22" s="22" t="n"/>
      <c r="L22" s="25" t="n">
        <v>0.565683</v>
      </c>
      <c r="M22" s="25" t="n">
        <v>0.69941</v>
      </c>
      <c r="N22" s="25" t="n">
        <v>0.6</v>
      </c>
      <c r="O22" s="26" t="n">
        <v>21920.45550000155</v>
      </c>
      <c r="P22" s="22" t="inlineStr">
        <is>
          <t>hybrid</t>
        </is>
      </c>
      <c r="Q22" s="22" t="inlineStr">
        <is>
          <t>xlmr</t>
        </is>
      </c>
      <c r="R22" s="22" t="inlineStr">
        <is>
          <t>D:\GitHub\QA_system\models\reader\xlm-roberta-large-viquad</t>
        </is>
      </c>
    </row>
    <row r="23" ht="34" customHeight="1">
      <c r="A23" s="22" t="n">
        <v>22</v>
      </c>
      <c r="B23" s="22" t="inlineStr">
        <is>
          <t>0004-0019-0008</t>
        </is>
      </c>
      <c r="C23" s="23" t="inlineStr">
        <is>
          <t>Số lượng quân lính mà Hoa Kỳ đã triệu tập lên đến con số bao nhiêu?</t>
        </is>
      </c>
      <c r="D23" s="23" t="inlineStr">
        <is>
          <t>500.000 quân</t>
        </is>
      </c>
      <c r="E23" s="23" t="inlineStr">
        <is>
          <t>2012</t>
        </is>
      </c>
      <c r="F23" s="22" t="n">
        <v>0</v>
      </c>
      <c r="G23" s="24" t="n">
        <v>0</v>
      </c>
      <c r="H23" s="22" t="b">
        <v>1</v>
      </c>
      <c r="I23" s="22" t="inlineStr">
        <is>
          <t>NUMBER</t>
        </is>
      </c>
      <c r="J23" s="22" t="inlineStr">
        <is>
          <t>phrase_fallback</t>
        </is>
      </c>
      <c r="K23" s="22" t="b">
        <v>0</v>
      </c>
      <c r="L23" s="25" t="n">
        <v>0.48</v>
      </c>
      <c r="M23" s="25" t="n">
        <v>0.6879999999999999</v>
      </c>
      <c r="N23" s="25" t="n">
        <v>1</v>
      </c>
      <c r="O23" s="26" t="n">
        <v>13751.2547999997</v>
      </c>
      <c r="P23" s="22" t="inlineStr">
        <is>
          <t>hybrid</t>
        </is>
      </c>
      <c r="Q23" s="22" t="inlineStr">
        <is>
          <t>xlmr</t>
        </is>
      </c>
      <c r="R23" s="22" t="inlineStr">
        <is>
          <t>D:\GitHub\QA_system\models\reader\xlm-roberta-large-viquad</t>
        </is>
      </c>
    </row>
    <row r="24" ht="34" customHeight="1">
      <c r="A24" s="22" t="n">
        <v>23</v>
      </c>
      <c r="B24" s="22" t="inlineStr">
        <is>
          <t>0017-0068-0001</t>
        </is>
      </c>
      <c r="C24" s="23" t="inlineStr">
        <is>
          <t>Có bao nhiêu thường trú nhân gốc ý phải chịu bị giới hạn đi lại khi Ý giao chiến với Hoa Kỳ?</t>
        </is>
      </c>
      <c r="D24" s="23" t="inlineStr">
        <is>
          <t>khỏang 600.000</t>
        </is>
      </c>
      <c r="E24" s="23" t="inlineStr">
        <is>
          <t>10</t>
        </is>
      </c>
      <c r="F24" s="22" t="n">
        <v>0</v>
      </c>
      <c r="G24" s="24" t="n">
        <v>0</v>
      </c>
      <c r="H24" s="22" t="b">
        <v>1</v>
      </c>
      <c r="I24" s="22" t="inlineStr">
        <is>
          <t>PERSON</t>
        </is>
      </c>
      <c r="J24" s="22" t="inlineStr">
        <is>
          <t>phrase_fallback</t>
        </is>
      </c>
      <c r="K24" s="22" t="b">
        <v>1</v>
      </c>
      <c r="L24" s="25" t="n">
        <v>0.7</v>
      </c>
      <c r="M24" s="25" t="n">
        <v>0.82</v>
      </c>
      <c r="N24" s="25" t="n">
        <v>1</v>
      </c>
      <c r="O24" s="26" t="n">
        <v>17773.26870000333</v>
      </c>
      <c r="P24" s="22" t="inlineStr">
        <is>
          <t>hybrid</t>
        </is>
      </c>
      <c r="Q24" s="22" t="inlineStr">
        <is>
          <t>xlmr</t>
        </is>
      </c>
      <c r="R24" s="22" t="inlineStr">
        <is>
          <t>D:\GitHub\QA_system\models\reader\xlm-roberta-large-viquad</t>
        </is>
      </c>
    </row>
    <row r="25" ht="34" customHeight="1">
      <c r="A25" s="22" t="n">
        <v>24</v>
      </c>
      <c r="B25" s="22" t="inlineStr">
        <is>
          <t>0017-0040-0003</t>
        </is>
      </c>
      <c r="C25" s="23" t="inlineStr">
        <is>
          <t>Trước những đồn đóan rằng thế giới sẽ tham chiến chiến tranh Hoa Kỳ, Roosevelt đã có những phản ứng như thế nào?</t>
        </is>
      </c>
      <c r="D25" s="23" t="inlineStr"/>
      <c r="E25" s="23" t="inlineStr">
        <is>
          <t>bác bỏ lời đồn đóan</t>
        </is>
      </c>
      <c r="F25" s="22" t="n">
        <v>0</v>
      </c>
      <c r="G25" s="24" t="n">
        <v>0</v>
      </c>
      <c r="H25" s="22" t="b">
        <v>0</v>
      </c>
      <c r="I25" s="22" t="inlineStr">
        <is>
          <t>PERSON</t>
        </is>
      </c>
      <c r="J25" s="22" t="inlineStr">
        <is>
          <t>neural_span</t>
        </is>
      </c>
      <c r="K25" s="22" t="n"/>
      <c r="L25" s="25" t="n">
        <v>0.505128</v>
      </c>
      <c r="M25" s="25" t="n">
        <v>0.688077</v>
      </c>
      <c r="N25" s="25" t="n">
        <v>0.85</v>
      </c>
      <c r="O25" s="26" t="n">
        <v>17068.91970000434</v>
      </c>
      <c r="P25" s="22" t="inlineStr">
        <is>
          <t>hybrid</t>
        </is>
      </c>
      <c r="Q25" s="22" t="inlineStr">
        <is>
          <t>xlmr</t>
        </is>
      </c>
      <c r="R25" s="22" t="inlineStr">
        <is>
          <t>D:\GitHub\QA_system\models\reader\xlm-roberta-large-viquad</t>
        </is>
      </c>
    </row>
    <row r="26" ht="34" customHeight="1">
      <c r="A26" s="22" t="n">
        <v>25</v>
      </c>
      <c r="B26" s="22" t="inlineStr">
        <is>
          <t>0001-0029-0004</t>
        </is>
      </c>
      <c r="C26" s="23" t="inlineStr">
        <is>
          <t>Cuộc diễu hành lớn nhất ở Pháp sau thế chiến II diễn ra vào thời gian nào?</t>
        </is>
      </c>
      <c r="D26" s="23" t="inlineStr">
        <is>
          <t>ngày 10 và 11 tháng 1 năm 2015</t>
        </is>
      </c>
      <c r="E26" s="23" t="inlineStr"/>
      <c r="F26" s="22" t="n">
        <v>0</v>
      </c>
      <c r="G26" s="24" t="n">
        <v>0</v>
      </c>
      <c r="H26" s="22" t="b">
        <v>1</v>
      </c>
      <c r="I26" s="22" t="inlineStr">
        <is>
          <t>LOCATION</t>
        </is>
      </c>
      <c r="J26" s="22" t="inlineStr">
        <is>
          <t>no_answer</t>
        </is>
      </c>
      <c r="K26" s="22" t="b">
        <v>0</v>
      </c>
      <c r="L26" s="25" t="n">
        <v>0</v>
      </c>
      <c r="M26" s="25" t="n">
        <v>0.3660070203108486</v>
      </c>
      <c r="N26" s="25" t="n">
        <v>0.85</v>
      </c>
      <c r="O26" s="26" t="n">
        <v>16417.21419999684</v>
      </c>
      <c r="P26" s="22" t="inlineStr">
        <is>
          <t>hybrid</t>
        </is>
      </c>
      <c r="Q26" s="22" t="inlineStr">
        <is>
          <t>xlmr</t>
        </is>
      </c>
      <c r="R26" s="22" t="inlineStr">
        <is>
          <t>D:\GitHub\QA_system\models\reader\xlm-roberta-large-viquad</t>
        </is>
      </c>
    </row>
    <row r="27" ht="24" customHeight="1">
      <c r="A27" s="22" t="n">
        <v>26</v>
      </c>
      <c r="B27" s="22" t="inlineStr">
        <is>
          <t>0001-0014-0002</t>
        </is>
      </c>
      <c r="C27" s="23" t="inlineStr">
        <is>
          <t>Roma có tên gì sau khi bị xâm chiếm bởi đế chế Paris?</t>
        </is>
      </c>
      <c r="D27" s="23" t="inlineStr"/>
      <c r="E27" s="23" t="inlineStr"/>
      <c r="F27" s="22" t="n">
        <v>1</v>
      </c>
      <c r="G27" s="24" t="n">
        <v>1</v>
      </c>
      <c r="H27" s="22" t="b">
        <v>0</v>
      </c>
      <c r="I27" s="22" t="inlineStr">
        <is>
          <t>LOCATION</t>
        </is>
      </c>
      <c r="J27" s="22" t="inlineStr">
        <is>
          <t>no_answer</t>
        </is>
      </c>
      <c r="K27" s="22" t="n"/>
      <c r="L27" s="25" t="n">
        <v>0</v>
      </c>
      <c r="M27" s="25" t="n">
        <v>0.2726513537916368</v>
      </c>
      <c r="N27" s="25" t="n">
        <v>0.429</v>
      </c>
      <c r="O27" s="26" t="n">
        <v>15266.54289999715</v>
      </c>
      <c r="P27" s="22" t="inlineStr">
        <is>
          <t>hybrid</t>
        </is>
      </c>
      <c r="Q27" s="22" t="inlineStr">
        <is>
          <t>xlmr</t>
        </is>
      </c>
      <c r="R27" s="22" t="inlineStr">
        <is>
          <t>D:\GitHub\QA_system\models\reader\xlm-roberta-large-viquad</t>
        </is>
      </c>
    </row>
    <row r="28" ht="34" customHeight="1">
      <c r="A28" s="22" t="n">
        <v>27</v>
      </c>
      <c r="B28" s="22" t="inlineStr">
        <is>
          <t>0012-0028-0003</t>
        </is>
      </c>
      <c r="C28" s="23" t="inlineStr">
        <is>
          <t>Vì sao chính quyền Anh không muốn ông vượt khỏi tù?</t>
        </is>
      </c>
      <c r="D28" s="23" t="inlineStr"/>
      <c r="E28" s="23" t="inlineStr">
        <is>
          <t>đây là một sự kiện có thể làm lòng căm phẫn của công chúng vượt khỏi tầm kiểm sóat</t>
        </is>
      </c>
      <c r="F28" s="22" t="n">
        <v>0</v>
      </c>
      <c r="G28" s="24" t="n">
        <v>0</v>
      </c>
      <c r="H28" s="22" t="b">
        <v>0</v>
      </c>
      <c r="I28" s="22" t="inlineStr">
        <is>
          <t>GENERAL</t>
        </is>
      </c>
      <c r="J28" s="22" t="inlineStr">
        <is>
          <t>phrase_fallback</t>
        </is>
      </c>
      <c r="K28" s="22" t="n"/>
      <c r="L28" s="25" t="n">
        <v>0.7</v>
      </c>
      <c r="M28" s="25" t="n">
        <v>0.707</v>
      </c>
      <c r="N28" s="25" t="n">
        <v>0.5</v>
      </c>
      <c r="O28" s="26" t="n">
        <v>15419.14130000304</v>
      </c>
      <c r="P28" s="22" t="inlineStr">
        <is>
          <t>hybrid</t>
        </is>
      </c>
      <c r="Q28" s="22" t="inlineStr">
        <is>
          <t>xlmr</t>
        </is>
      </c>
      <c r="R28" s="22" t="inlineStr">
        <is>
          <t>D:\GitHub\QA_system\models\reader\xlm-roberta-large-viquad</t>
        </is>
      </c>
    </row>
    <row r="29" ht="24" customHeight="1">
      <c r="A29" s="22" t="n">
        <v>28</v>
      </c>
      <c r="B29" s="22" t="inlineStr">
        <is>
          <t>0003-0026-0003</t>
        </is>
      </c>
      <c r="C29" s="23" t="inlineStr">
        <is>
          <t>Nơi nào của Canada có khí hậu tốt nhất vào vào mùa đông?</t>
        </is>
      </c>
      <c r="D29" s="23" t="inlineStr">
        <is>
          <t>British Columbia Duyên hải</t>
        </is>
      </c>
      <c r="E29" s="23" t="inlineStr">
        <is>
          <t>British Columbia Duyên hải</t>
        </is>
      </c>
      <c r="F29" s="22" t="n">
        <v>1</v>
      </c>
      <c r="G29" s="24" t="n">
        <v>1</v>
      </c>
      <c r="H29" s="22" t="b">
        <v>1</v>
      </c>
      <c r="I29" s="22" t="inlineStr">
        <is>
          <t>DEFINITION</t>
        </is>
      </c>
      <c r="J29" s="22" t="inlineStr">
        <is>
          <t>neural_span</t>
        </is>
      </c>
      <c r="K29" s="22" t="b">
        <v>1</v>
      </c>
      <c r="L29" s="25" t="n">
        <v>0.456606</v>
      </c>
      <c r="M29" s="25" t="n">
        <v>0.658964</v>
      </c>
      <c r="N29" s="25" t="n">
        <v>0.85</v>
      </c>
      <c r="O29" s="26" t="n">
        <v>15511.34499999939</v>
      </c>
      <c r="P29" s="22" t="inlineStr">
        <is>
          <t>hybrid</t>
        </is>
      </c>
      <c r="Q29" s="22" t="inlineStr">
        <is>
          <t>xlmr</t>
        </is>
      </c>
      <c r="R29" s="22" t="inlineStr">
        <is>
          <t>D:\GitHub\QA_system\models\reader\xlm-roberta-large-viquad</t>
        </is>
      </c>
    </row>
    <row r="30" ht="34" customHeight="1">
      <c r="A30" s="22" t="n">
        <v>29</v>
      </c>
      <c r="B30" s="22" t="inlineStr">
        <is>
          <t>0019-0011-0001</t>
        </is>
      </c>
      <c r="C30" s="23" t="inlineStr">
        <is>
          <t>Lý do mà một số đòan truyền giáo được ra đời tại Đông Texas vào năm 1690 là gì?</t>
        </is>
      </c>
      <c r="D30" s="23" t="inlineStr">
        <is>
          <t>nhà cầm quyền Tây Ban Nha lo ngại rằng Pháp tạo ra mối đe dọa cạnh tranh</t>
        </is>
      </c>
      <c r="E30" s="23" t="inlineStr"/>
      <c r="F30" s="22" t="n">
        <v>0</v>
      </c>
      <c r="G30" s="24" t="n">
        <v>0</v>
      </c>
      <c r="H30" s="22" t="b">
        <v>1</v>
      </c>
      <c r="I30" s="22" t="inlineStr">
        <is>
          <t>GENERAL</t>
        </is>
      </c>
      <c r="J30" s="22" t="inlineStr">
        <is>
          <t>no_answer</t>
        </is>
      </c>
      <c r="K30" s="22" t="b">
        <v>1</v>
      </c>
      <c r="L30" s="25" t="n">
        <v>0</v>
      </c>
      <c r="M30" s="25" t="n">
        <v>0.5362650855073339</v>
      </c>
      <c r="N30" s="25" t="n">
        <v>0.5</v>
      </c>
      <c r="O30" s="26" t="n">
        <v>14625.12679999974</v>
      </c>
      <c r="P30" s="22" t="inlineStr">
        <is>
          <t>hybrid</t>
        </is>
      </c>
      <c r="Q30" s="22" t="inlineStr">
        <is>
          <t>xlmr</t>
        </is>
      </c>
      <c r="R30" s="22" t="inlineStr">
        <is>
          <t>D:\GitHub\QA_system\models\reader\xlm-roberta-large-viquad</t>
        </is>
      </c>
    </row>
    <row r="31" ht="34" customHeight="1">
      <c r="A31" s="22" t="n">
        <v>30</v>
      </c>
      <c r="B31" s="22" t="inlineStr">
        <is>
          <t>0012-0017-0005</t>
        </is>
      </c>
      <c r="C31" s="23" t="inlineStr">
        <is>
          <t>Hiệu quả của chương trình tẩy chay này đạt được như thế nào?</t>
        </is>
      </c>
      <c r="D31" s="23" t="inlineStr">
        <is>
          <t>sức lôi cuốn và thành công rộng lớn, gia lực cho người Ấn chưa từng có từ xưa nay</t>
        </is>
      </c>
      <c r="E31" s="23" t="inlineStr">
        <is>
          <t>sức lôi cuốn và thành công rộng lớn, gia lực cho người Ấn chưa từng có từ xưa nay</t>
        </is>
      </c>
      <c r="F31" s="22" t="n">
        <v>1</v>
      </c>
      <c r="G31" s="24" t="n">
        <v>1</v>
      </c>
      <c r="H31" s="22" t="b">
        <v>1</v>
      </c>
      <c r="I31" s="22" t="inlineStr">
        <is>
          <t>DEFINITION</t>
        </is>
      </c>
      <c r="J31" s="22" t="inlineStr">
        <is>
          <t>neural_span</t>
        </is>
      </c>
      <c r="K31" s="22" t="b">
        <v>1</v>
      </c>
      <c r="L31" s="25" t="n">
        <v>0.590624</v>
      </c>
      <c r="M31" s="25" t="n">
        <v>0.739374</v>
      </c>
      <c r="N31" s="25" t="n">
        <v>0.85</v>
      </c>
      <c r="O31" s="26" t="n">
        <v>16605.42140000337</v>
      </c>
      <c r="P31" s="22" t="inlineStr">
        <is>
          <t>hybrid</t>
        </is>
      </c>
      <c r="Q31" s="22" t="inlineStr">
        <is>
          <t>xlmr</t>
        </is>
      </c>
      <c r="R31" s="22" t="inlineStr">
        <is>
          <t>D:\GitHub\QA_system\models\reader\xlm-roberta-large-viquad</t>
        </is>
      </c>
    </row>
    <row r="32" ht="34" customHeight="1">
      <c r="A32" s="22" t="n">
        <v>31</v>
      </c>
      <c r="B32" s="22" t="inlineStr">
        <is>
          <t>0004-0022-0001</t>
        </is>
      </c>
      <c r="C32" s="23" t="inlineStr">
        <is>
          <t>Trước hiện trạng Kuwait bị Mỹ xâm lược, Iraq đã thành lập tổ chức nào để phản đối việc này?</t>
        </is>
      </c>
      <c r="D32" s="23" t="inlineStr"/>
      <c r="E32" s="23" t="inlineStr"/>
      <c r="F32" s="22" t="n">
        <v>1</v>
      </c>
      <c r="G32" s="24" t="n">
        <v>1</v>
      </c>
      <c r="H32" s="22" t="b">
        <v>0</v>
      </c>
      <c r="I32" s="22" t="inlineStr">
        <is>
          <t>LOCATION</t>
        </is>
      </c>
      <c r="J32" s="22" t="inlineStr">
        <is>
          <t>no_answer</t>
        </is>
      </c>
      <c r="K32" s="22" t="n"/>
      <c r="L32" s="25" t="n">
        <v>0</v>
      </c>
      <c r="M32" s="25" t="n">
        <v>0.488204197</v>
      </c>
      <c r="N32" s="25" t="n">
        <v>0.85</v>
      </c>
      <c r="O32" s="26" t="n">
        <v>16268.45990000188</v>
      </c>
      <c r="P32" s="22" t="inlineStr">
        <is>
          <t>hybrid</t>
        </is>
      </c>
      <c r="Q32" s="22" t="inlineStr">
        <is>
          <t>xlmr</t>
        </is>
      </c>
      <c r="R32" s="22" t="inlineStr">
        <is>
          <t>D:\GitHub\QA_system\models\reader\xlm-roberta-large-viquad</t>
        </is>
      </c>
    </row>
    <row r="33" ht="34" customHeight="1">
      <c r="A33" s="22" t="n">
        <v>32</v>
      </c>
      <c r="B33" s="22" t="inlineStr">
        <is>
          <t>0001-0056-0003</t>
        </is>
      </c>
      <c r="C33" s="23" t="inlineStr">
        <is>
          <t>Các tòa nhà được thiết kế ở Paris phải theo luật gì để không phá hỏng cảnh quan?</t>
        </is>
      </c>
      <c r="D33" s="23" t="inlineStr">
        <is>
          <t>màu sắc, kiểu cửa sổ</t>
        </is>
      </c>
      <c r="E33" s="23" t="inlineStr"/>
      <c r="F33" s="22" t="n">
        <v>0</v>
      </c>
      <c r="G33" s="24" t="n">
        <v>0</v>
      </c>
      <c r="H33" s="22" t="b">
        <v>1</v>
      </c>
      <c r="I33" s="22" t="inlineStr">
        <is>
          <t>LOCATION</t>
        </is>
      </c>
      <c r="J33" s="22" t="inlineStr">
        <is>
          <t>no_answer</t>
        </is>
      </c>
      <c r="K33" s="22" t="b">
        <v>1</v>
      </c>
      <c r="L33" s="25" t="n">
        <v>0</v>
      </c>
      <c r="M33" s="25" t="n">
        <v>0.1786048511870114</v>
      </c>
      <c r="N33" s="25" t="n">
        <v>0.165</v>
      </c>
      <c r="O33" s="26" t="n">
        <v>14248.5896000049</v>
      </c>
      <c r="P33" s="22" t="inlineStr">
        <is>
          <t>hybrid</t>
        </is>
      </c>
      <c r="Q33" s="22" t="inlineStr">
        <is>
          <t>xlmr</t>
        </is>
      </c>
      <c r="R33" s="22" t="inlineStr">
        <is>
          <t>D:\GitHub\QA_system\models\reader\xlm-roberta-large-viquad</t>
        </is>
      </c>
    </row>
    <row r="34" ht="24" customHeight="1">
      <c r="A34" s="22" t="n">
        <v>33</v>
      </c>
      <c r="B34" s="22" t="inlineStr">
        <is>
          <t>0007-0015-0004</t>
        </is>
      </c>
      <c r="C34" s="23" t="inlineStr">
        <is>
          <t>Nam Ossetia và vùng Bắc Ossetia bị chia cắt bởi gì?</t>
        </is>
      </c>
      <c r="D34" s="23" t="inlineStr">
        <is>
          <t>bởi những dãy núi</t>
        </is>
      </c>
      <c r="E34" s="23" t="inlineStr">
        <is>
          <t>Gruzia</t>
        </is>
      </c>
      <c r="F34" s="22" t="n">
        <v>0</v>
      </c>
      <c r="G34" s="24" t="n">
        <v>0</v>
      </c>
      <c r="H34" s="22" t="b">
        <v>1</v>
      </c>
      <c r="I34" s="22" t="inlineStr">
        <is>
          <t>LOCATION</t>
        </is>
      </c>
      <c r="J34" s="22" t="inlineStr">
        <is>
          <t>phrase_fallback</t>
        </is>
      </c>
      <c r="K34" s="22" t="b">
        <v>1</v>
      </c>
      <c r="L34" s="25" t="n">
        <v>0.7</v>
      </c>
      <c r="M34" s="25" t="n">
        <v>0.780519</v>
      </c>
      <c r="N34" s="25" t="n">
        <v>0.956</v>
      </c>
      <c r="O34" s="26" t="n">
        <v>16972.40440000477</v>
      </c>
      <c r="P34" s="22" t="inlineStr">
        <is>
          <t>hybrid</t>
        </is>
      </c>
      <c r="Q34" s="22" t="inlineStr">
        <is>
          <t>xlmr</t>
        </is>
      </c>
      <c r="R34" s="22" t="inlineStr">
        <is>
          <t>D:\GitHub\QA_system\models\reader\xlm-roberta-large-viquad</t>
        </is>
      </c>
    </row>
    <row r="35" ht="60" customHeight="1">
      <c r="A35" s="22" t="n">
        <v>34</v>
      </c>
      <c r="B35" s="22" t="inlineStr">
        <is>
          <t>0011-0001-0004</t>
        </is>
      </c>
      <c r="C35" s="23" t="inlineStr">
        <is>
          <t>Vai trò của thần học là gì?</t>
        </is>
      </c>
      <c r="D35" s="23" t="inlineStr">
        <is>
          <t>giúp các nhà thần học hiểu rõ hơn về truyền thống tôn giáo của chính mình, về các truyền thống tôn giáo khác, cũng như so sánh giữa các truyền thống tôn giáo khác nhau</t>
        </is>
      </c>
      <c r="E35" s="23" t="inlineStr">
        <is>
          <t>giúp các nhà thần học hiểu rõ hơn về truyền thống tôn giáo của chính mình, về các truyền thống tôn giáo khác, cũng như so sánh giữa các truyền thống tôn giáo khác nhau</t>
        </is>
      </c>
      <c r="F35" s="22" t="n">
        <v>1</v>
      </c>
      <c r="G35" s="24" t="n">
        <v>1</v>
      </c>
      <c r="H35" s="22" t="b">
        <v>1</v>
      </c>
      <c r="I35" s="22" t="inlineStr">
        <is>
          <t>GENERAL</t>
        </is>
      </c>
      <c r="J35" s="22" t="inlineStr">
        <is>
          <t>neural_span</t>
        </is>
      </c>
      <c r="K35" s="22" t="b">
        <v>1</v>
      </c>
      <c r="L35" s="25" t="n">
        <v>0.8118840000000001</v>
      </c>
      <c r="M35" s="25" t="n">
        <v>0.640259</v>
      </c>
      <c r="N35" s="25" t="n">
        <v>0.5</v>
      </c>
      <c r="O35" s="26" t="n">
        <v>16246.40200000518</v>
      </c>
      <c r="P35" s="22" t="inlineStr">
        <is>
          <t>hybrid</t>
        </is>
      </c>
      <c r="Q35" s="22" t="inlineStr">
        <is>
          <t>xlmr</t>
        </is>
      </c>
      <c r="R35" s="22" t="inlineStr">
        <is>
          <t>D:\GitHub\QA_system\models\reader\xlm-roberta-large-viquad</t>
        </is>
      </c>
    </row>
    <row r="36" ht="34" customHeight="1">
      <c r="A36" s="22" t="n">
        <v>35</v>
      </c>
      <c r="B36" s="22" t="inlineStr">
        <is>
          <t>0003-0025-0008</t>
        </is>
      </c>
      <c r="C36" s="23" t="inlineStr">
        <is>
          <t>Những khu vực nào có người dân nhập cư tập trung sinh sống đông đúc nhất của Canada?</t>
        </is>
      </c>
      <c r="D36" s="23" t="inlineStr"/>
      <c r="E36" s="23" t="inlineStr"/>
      <c r="F36" s="22" t="n">
        <v>1</v>
      </c>
      <c r="G36" s="24" t="n">
        <v>1</v>
      </c>
      <c r="H36" s="22" t="b">
        <v>0</v>
      </c>
      <c r="I36" s="22" t="inlineStr">
        <is>
          <t>LOCATION</t>
        </is>
      </c>
      <c r="J36" s="22" t="inlineStr">
        <is>
          <t>no_answer</t>
        </is>
      </c>
      <c r="K36" s="22" t="n"/>
      <c r="L36" s="25" t="n">
        <v>0</v>
      </c>
      <c r="M36" s="25" t="n">
        <v>0.4737895248668231</v>
      </c>
      <c r="N36" s="25" t="n">
        <v>1</v>
      </c>
      <c r="O36" s="26" t="n">
        <v>20303.09350000188</v>
      </c>
      <c r="P36" s="22" t="inlineStr">
        <is>
          <t>hybrid</t>
        </is>
      </c>
      <c r="Q36" s="22" t="inlineStr">
        <is>
          <t>xlmr</t>
        </is>
      </c>
      <c r="R36" s="22" t="inlineStr">
        <is>
          <t>D:\GitHub\QA_system\models\reader\xlm-roberta-large-viquad</t>
        </is>
      </c>
    </row>
    <row r="37" ht="47" customHeight="1">
      <c r="A37" s="22" t="n">
        <v>36</v>
      </c>
      <c r="B37" s="22" t="inlineStr">
        <is>
          <t>0005-0001-0004</t>
        </is>
      </c>
      <c r="C37" s="23" t="inlineStr">
        <is>
          <t>Ngòai biển hở có nồng độ muối cao hơn biển thông thường thì còn có lọai biển nào khác cũng có nồng độ muối cao hơn một cách đáng kể?</t>
        </is>
      </c>
      <c r="D37" s="23" t="inlineStr">
        <is>
          <t>biển trong các biển cô lập (biển kín)</t>
        </is>
      </c>
      <c r="E37" s="23" t="inlineStr">
        <is>
          <t>biển cô lập</t>
        </is>
      </c>
      <c r="F37" s="22" t="n">
        <v>0</v>
      </c>
      <c r="G37" s="24" t="n">
        <v>0.5454545454545454</v>
      </c>
      <c r="H37" s="22" t="b">
        <v>1</v>
      </c>
      <c r="I37" s="22" t="inlineStr">
        <is>
          <t>DEFINITION</t>
        </is>
      </c>
      <c r="J37" s="22" t="inlineStr">
        <is>
          <t>neural_span</t>
        </is>
      </c>
      <c r="K37" s="22" t="b">
        <v>1</v>
      </c>
      <c r="L37" s="25" t="n">
        <v>0.702924</v>
      </c>
      <c r="M37" s="25" t="n">
        <v>0.806754</v>
      </c>
      <c r="N37" s="25" t="n">
        <v>0.85</v>
      </c>
      <c r="O37" s="26" t="n">
        <v>15304.84720000072</v>
      </c>
      <c r="P37" s="22" t="inlineStr">
        <is>
          <t>hybrid</t>
        </is>
      </c>
      <c r="Q37" s="22" t="inlineStr">
        <is>
          <t>xlmr</t>
        </is>
      </c>
      <c r="R37" s="22" t="inlineStr">
        <is>
          <t>D:\GitHub\QA_system\models\reader\xlm-roberta-large-viquad</t>
        </is>
      </c>
    </row>
    <row r="38" ht="24" customHeight="1">
      <c r="A38" s="22" t="n">
        <v>37</v>
      </c>
      <c r="B38" s="22" t="inlineStr">
        <is>
          <t>0001-0005-0003</t>
        </is>
      </c>
      <c r="C38" s="23" t="inlineStr">
        <is>
          <t>Ngọai trừ cái tên Paname, Paris còn có tên gọi khác là gì?</t>
        </is>
      </c>
      <c r="D38" s="23" t="inlineStr">
        <is>
          <t>Pantruche</t>
        </is>
      </c>
      <c r="E38" s="23" t="inlineStr">
        <is>
          <t>Pantruche</t>
        </is>
      </c>
      <c r="F38" s="22" t="n">
        <v>1</v>
      </c>
      <c r="G38" s="24" t="n">
        <v>1</v>
      </c>
      <c r="H38" s="22" t="b">
        <v>1</v>
      </c>
      <c r="I38" s="22" t="inlineStr">
        <is>
          <t>DEFINITION</t>
        </is>
      </c>
      <c r="J38" s="22" t="inlineStr">
        <is>
          <t>neural_span</t>
        </is>
      </c>
      <c r="K38" s="22" t="b">
        <v>1</v>
      </c>
      <c r="L38" s="25" t="n">
        <v>0.6355499999999999</v>
      </c>
      <c r="M38" s="25" t="n">
        <v>0.74133</v>
      </c>
      <c r="N38" s="25" t="n">
        <v>0.6</v>
      </c>
      <c r="O38" s="26" t="n">
        <v>15199.86510000349</v>
      </c>
      <c r="P38" s="22" t="inlineStr">
        <is>
          <t>hybrid</t>
        </is>
      </c>
      <c r="Q38" s="22" t="inlineStr">
        <is>
          <t>xlmr</t>
        </is>
      </c>
      <c r="R38" s="22" t="inlineStr">
        <is>
          <t>D:\GitHub\QA_system\models\reader\xlm-roberta-large-viquad</t>
        </is>
      </c>
    </row>
    <row r="39" ht="34" customHeight="1">
      <c r="A39" s="22" t="n">
        <v>38</v>
      </c>
      <c r="B39" s="22" t="inlineStr">
        <is>
          <t>0002-0005-0008</t>
        </is>
      </c>
      <c r="C39" s="23" t="inlineStr">
        <is>
          <t>Tất cả những đạo luật được Nouvelle-Calédonie lên kế họach trong năm 1876-1988 đều tạo nên điều gì?</t>
        </is>
      </c>
      <c r="D39" s="23" t="inlineStr"/>
      <c r="E39" s="23" t="inlineStr"/>
      <c r="F39" s="22" t="n">
        <v>1</v>
      </c>
      <c r="G39" s="24" t="n">
        <v>1</v>
      </c>
      <c r="H39" s="22" t="b">
        <v>0</v>
      </c>
      <c r="I39" s="22" t="inlineStr">
        <is>
          <t>GENERAL</t>
        </is>
      </c>
      <c r="J39" s="22" t="inlineStr">
        <is>
          <t>no_answer</t>
        </is>
      </c>
      <c r="K39" s="22" t="n"/>
      <c r="L39" s="25" t="n">
        <v>0</v>
      </c>
      <c r="M39" s="25" t="n">
        <v>0.5121248</v>
      </c>
      <c r="N39" s="25" t="n">
        <v>0.5</v>
      </c>
      <c r="O39" s="26" t="n">
        <v>14777.77570000268</v>
      </c>
      <c r="P39" s="22" t="inlineStr">
        <is>
          <t>hybrid</t>
        </is>
      </c>
      <c r="Q39" s="22" t="inlineStr">
        <is>
          <t>xlmr</t>
        </is>
      </c>
      <c r="R39" s="22" t="inlineStr">
        <is>
          <t>D:\GitHub\QA_system\models\reader\xlm-roberta-large-viquad</t>
        </is>
      </c>
    </row>
    <row r="40" ht="34" customHeight="1">
      <c r="A40" s="22" t="n">
        <v>39</v>
      </c>
      <c r="B40" s="22" t="inlineStr">
        <is>
          <t>0017-0036-0008</t>
        </is>
      </c>
      <c r="C40" s="23" t="inlineStr">
        <is>
          <t>Để vượt qua sự thuyết phục của các đảng viên Dân chủ bảo thủ, Roosevelt đã có quyết định gì?</t>
        </is>
      </c>
      <c r="D40" s="23" t="inlineStr"/>
      <c r="E40" s="23" t="inlineStr"/>
      <c r="F40" s="22" t="n">
        <v>1</v>
      </c>
      <c r="G40" s="24" t="n">
        <v>1</v>
      </c>
      <c r="H40" s="22" t="b">
        <v>0</v>
      </c>
      <c r="I40" s="22" t="inlineStr">
        <is>
          <t>PERSON</t>
        </is>
      </c>
      <c r="J40" s="22" t="inlineStr">
        <is>
          <t>no_answer</t>
        </is>
      </c>
      <c r="K40" s="22" t="n"/>
      <c r="L40" s="25" t="n">
        <v>0</v>
      </c>
      <c r="M40" s="25" t="n">
        <v>0.5577260917674978</v>
      </c>
      <c r="N40" s="25" t="n">
        <v>0.85</v>
      </c>
      <c r="O40" s="26" t="n">
        <v>16974.53370000032</v>
      </c>
      <c r="P40" s="22" t="inlineStr">
        <is>
          <t>hybrid</t>
        </is>
      </c>
      <c r="Q40" s="22" t="inlineStr">
        <is>
          <t>xlmr</t>
        </is>
      </c>
      <c r="R40" s="22" t="inlineStr">
        <is>
          <t>D:\GitHub\QA_system\models\reader\xlm-roberta-large-viquad</t>
        </is>
      </c>
    </row>
    <row r="41" ht="34" customHeight="1">
      <c r="A41" s="22" t="n">
        <v>40</v>
      </c>
      <c r="B41" s="22" t="inlineStr">
        <is>
          <t>0004-0036-0001</t>
        </is>
      </c>
      <c r="C41" s="23" t="inlineStr">
        <is>
          <t>Số tiền Đức và Nhật Bản đóng góp cho Hoa Kỳ để phục vụ chiến tranh là bao nhiêu?</t>
        </is>
      </c>
      <c r="D41" s="23" t="inlineStr">
        <is>
          <t>$16 tỷ</t>
        </is>
      </c>
      <c r="E41" s="23" t="inlineStr">
        <is>
          <t>$16 tỷ</t>
        </is>
      </c>
      <c r="F41" s="22" t="n">
        <v>1</v>
      </c>
      <c r="G41" s="24" t="n">
        <v>1</v>
      </c>
      <c r="H41" s="22" t="b">
        <v>1</v>
      </c>
      <c r="I41" s="22" t="inlineStr">
        <is>
          <t>DEFINITION</t>
        </is>
      </c>
      <c r="J41" s="22" t="inlineStr">
        <is>
          <t>neural_span</t>
        </is>
      </c>
      <c r="K41" s="22" t="b">
        <v>1</v>
      </c>
      <c r="L41" s="25" t="n">
        <v>0.859034</v>
      </c>
      <c r="M41" s="25" t="n">
        <v>0.834955</v>
      </c>
      <c r="N41" s="25" t="n">
        <v>0.6</v>
      </c>
      <c r="O41" s="26" t="n">
        <v>16479.15010000014</v>
      </c>
      <c r="P41" s="22" t="inlineStr">
        <is>
          <t>hybrid</t>
        </is>
      </c>
      <c r="Q41" s="22" t="inlineStr">
        <is>
          <t>xlmr</t>
        </is>
      </c>
      <c r="R41" s="22" t="inlineStr">
        <is>
          <t>D:\GitHub\QA_system\models\reader\xlm-roberta-large-viquad</t>
        </is>
      </c>
    </row>
    <row r="42" ht="34" customHeight="1">
      <c r="A42" s="22" t="n">
        <v>41</v>
      </c>
      <c r="B42" s="22" t="inlineStr">
        <is>
          <t>0004-0037-0005</t>
        </is>
      </c>
      <c r="C42" s="23" t="inlineStr">
        <is>
          <t>Tòa báo CNN đã phát hành tờ "CHIẾN TRANH VÙNG VỊNH" vào thời gian nào?</t>
        </is>
      </c>
      <c r="D42" s="23" t="inlineStr"/>
      <c r="E42" s="23" t="inlineStr">
        <is>
          <t>ngày 28 tháng 1 năm 1991</t>
        </is>
      </c>
      <c r="F42" s="22" t="n">
        <v>0</v>
      </c>
      <c r="G42" s="24" t="n">
        <v>0</v>
      </c>
      <c r="H42" s="22" t="b">
        <v>0</v>
      </c>
      <c r="I42" s="22" t="inlineStr">
        <is>
          <t>DEFINITION</t>
        </is>
      </c>
      <c r="J42" s="22" t="inlineStr">
        <is>
          <t>neural_span</t>
        </is>
      </c>
      <c r="K42" s="22" t="n"/>
      <c r="L42" s="25" t="n">
        <v>0.286267</v>
      </c>
      <c r="M42" s="25" t="n">
        <v>0.56676</v>
      </c>
      <c r="N42" s="25" t="n">
        <v>0.95</v>
      </c>
      <c r="O42" s="26" t="n">
        <v>19675.90770000016</v>
      </c>
      <c r="P42" s="22" t="inlineStr">
        <is>
          <t>hybrid</t>
        </is>
      </c>
      <c r="Q42" s="22" t="inlineStr">
        <is>
          <t>xlmr</t>
        </is>
      </c>
      <c r="R42" s="22" t="inlineStr">
        <is>
          <t>D:\GitHub\QA_system\models\reader\xlm-roberta-large-viquad</t>
        </is>
      </c>
    </row>
    <row r="43" ht="24" customHeight="1">
      <c r="A43" s="22" t="n">
        <v>42</v>
      </c>
      <c r="B43" s="22" t="inlineStr">
        <is>
          <t>0012-0002-0006</t>
        </is>
      </c>
      <c r="C43" s="23" t="inlineStr">
        <is>
          <t>Danh hiệu Mahatma Gandhi lần đầu tiên được dùng bởi ai?</t>
        </is>
      </c>
      <c r="D43" s="23" t="inlineStr">
        <is>
          <t>Rabindranath Tagore</t>
        </is>
      </c>
      <c r="E43" s="23" t="inlineStr">
        <is>
          <t>Rabindranath Tagore</t>
        </is>
      </c>
      <c r="F43" s="22" t="n">
        <v>1</v>
      </c>
      <c r="G43" s="24" t="n">
        <v>1</v>
      </c>
      <c r="H43" s="22" t="b">
        <v>1</v>
      </c>
      <c r="I43" s="22" t="inlineStr">
        <is>
          <t>PERSON</t>
        </is>
      </c>
      <c r="J43" s="22" t="inlineStr">
        <is>
          <t>neural_span</t>
        </is>
      </c>
      <c r="K43" s="22" t="b">
        <v>1</v>
      </c>
      <c r="L43" s="25" t="n">
        <v>0.802368</v>
      </c>
      <c r="M43" s="25" t="n">
        <v>0.866421</v>
      </c>
      <c r="N43" s="25" t="n">
        <v>0.85</v>
      </c>
      <c r="O43" s="26" t="n">
        <v>15081.77100000292</v>
      </c>
      <c r="P43" s="22" t="inlineStr">
        <is>
          <t>hybrid</t>
        </is>
      </c>
      <c r="Q43" s="22" t="inlineStr">
        <is>
          <t>xlmr</t>
        </is>
      </c>
      <c r="R43" s="22" t="inlineStr">
        <is>
          <t>D:\GitHub\QA_system\models\reader\xlm-roberta-large-viquad</t>
        </is>
      </c>
    </row>
    <row r="44" ht="47" customHeight="1">
      <c r="A44" s="22" t="n">
        <v>43</v>
      </c>
      <c r="B44" s="22" t="inlineStr">
        <is>
          <t>0012-0014-0008</t>
        </is>
      </c>
      <c r="C44" s="23" t="inlineStr">
        <is>
          <t>Cuộc phát động có tổ chức đầu tiên của Gandhi xảy ra khi nào?</t>
        </is>
      </c>
      <c r="D44" s="23" t="inlineStr">
        <is>
          <t>khi ông bị cảnh sát bắt giam với lý do gây bạo động và được yêu cầu rời địa phương này</t>
        </is>
      </c>
      <c r="E44" s="23" t="inlineStr">
        <is>
          <t>khi ông bị cảnh sát bắt giam</t>
        </is>
      </c>
      <c r="F44" s="22" t="n">
        <v>0</v>
      </c>
      <c r="G44" s="24" t="n">
        <v>0.5</v>
      </c>
      <c r="H44" s="22" t="b">
        <v>1</v>
      </c>
      <c r="I44" s="22" t="inlineStr">
        <is>
          <t>PERSON</t>
        </is>
      </c>
      <c r="J44" s="22" t="inlineStr">
        <is>
          <t>neural_span</t>
        </is>
      </c>
      <c r="K44" s="22" t="b">
        <v>1</v>
      </c>
      <c r="L44" s="25" t="n">
        <v>0.732663</v>
      </c>
      <c r="M44" s="25" t="n">
        <v>0.731901</v>
      </c>
      <c r="N44" s="25" t="n">
        <v>1</v>
      </c>
      <c r="O44" s="26" t="n">
        <v>14580.91629999853</v>
      </c>
      <c r="P44" s="22" t="inlineStr">
        <is>
          <t>hybrid</t>
        </is>
      </c>
      <c r="Q44" s="22" t="inlineStr">
        <is>
          <t>xlmr</t>
        </is>
      </c>
      <c r="R44" s="22" t="inlineStr">
        <is>
          <t>D:\GitHub\QA_system\models\reader\xlm-roberta-large-viquad</t>
        </is>
      </c>
    </row>
    <row r="45" ht="24" customHeight="1">
      <c r="A45" s="22" t="n">
        <v>44</v>
      </c>
      <c r="B45" s="22" t="inlineStr">
        <is>
          <t>0004-0030-0007</t>
        </is>
      </c>
      <c r="C45" s="23" t="inlineStr">
        <is>
          <t>Vì sao Mỹ chỉ nhận sát thương không đáng kể từ tên lửa Scud?</t>
        </is>
      </c>
      <c r="D45" s="23" t="inlineStr"/>
      <c r="E45" s="23" t="inlineStr"/>
      <c r="F45" s="22" t="n">
        <v>1</v>
      </c>
      <c r="G45" s="24" t="n">
        <v>1</v>
      </c>
      <c r="H45" s="22" t="b">
        <v>0</v>
      </c>
      <c r="I45" s="22" t="inlineStr">
        <is>
          <t>GENERAL</t>
        </is>
      </c>
      <c r="J45" s="22" t="inlineStr">
        <is>
          <t>no_answer</t>
        </is>
      </c>
      <c r="K45" s="22" t="n"/>
      <c r="L45" s="25" t="n">
        <v>0</v>
      </c>
      <c r="M45" s="25" t="n">
        <v>0.6740993122703953</v>
      </c>
      <c r="N45" s="25" t="n">
        <v>0.5</v>
      </c>
      <c r="O45" s="26" t="n">
        <v>16589.68059999601</v>
      </c>
      <c r="P45" s="22" t="inlineStr">
        <is>
          <t>hybrid</t>
        </is>
      </c>
      <c r="Q45" s="22" t="inlineStr">
        <is>
          <t>xlmr</t>
        </is>
      </c>
      <c r="R45" s="22" t="inlineStr">
        <is>
          <t>D:\GitHub\QA_system\models\reader\xlm-roberta-large-viquad</t>
        </is>
      </c>
    </row>
    <row r="46" ht="24" customHeight="1">
      <c r="A46" s="22" t="n">
        <v>45</v>
      </c>
      <c r="B46" s="22" t="inlineStr">
        <is>
          <t>0008-0002-0007</t>
        </is>
      </c>
      <c r="C46" s="23" t="inlineStr">
        <is>
          <t>Lòai kiến vào kỷ Creta sinh sống nhiều nhất ở khu vực nào?</t>
        </is>
      </c>
      <c r="D46" s="23" t="inlineStr">
        <is>
          <t>siêu lục địa Laurasia</t>
        </is>
      </c>
      <c r="E46" s="23" t="inlineStr">
        <is>
          <t>siêu lục địa Laurasia</t>
        </is>
      </c>
      <c r="F46" s="22" t="n">
        <v>1</v>
      </c>
      <c r="G46" s="24" t="n">
        <v>1</v>
      </c>
      <c r="H46" s="22" t="b">
        <v>1</v>
      </c>
      <c r="I46" s="22" t="inlineStr">
        <is>
          <t>LOCATION</t>
        </is>
      </c>
      <c r="J46" s="22" t="inlineStr">
        <is>
          <t>neural_span</t>
        </is>
      </c>
      <c r="K46" s="22" t="b">
        <v>1</v>
      </c>
      <c r="L46" s="25" t="n">
        <v>0.718492</v>
      </c>
      <c r="M46" s="25" t="n">
        <v>0.819786</v>
      </c>
      <c r="N46" s="25" t="n">
        <v>0.9</v>
      </c>
      <c r="O46" s="26" t="n">
        <v>50816.64979999355</v>
      </c>
      <c r="P46" s="22" t="inlineStr">
        <is>
          <t>hybrid</t>
        </is>
      </c>
      <c r="Q46" s="22" t="inlineStr">
        <is>
          <t>xlmr</t>
        </is>
      </c>
      <c r="R46" s="22" t="inlineStr">
        <is>
          <t>D:\GitHub\QA_system\models\reader\xlm-roberta-large-viquad</t>
        </is>
      </c>
    </row>
    <row r="47" ht="24" customHeight="1">
      <c r="A47" s="22" t="n">
        <v>46</v>
      </c>
      <c r="B47" s="22" t="inlineStr">
        <is>
          <t>0014-0008-0008</t>
        </is>
      </c>
      <c r="C47" s="23" t="inlineStr">
        <is>
          <t>Nguyên nhân khiến đế quốc mãi trường tồn sau này là gì?</t>
        </is>
      </c>
      <c r="D47" s="23" t="inlineStr"/>
      <c r="E47" s="23" t="inlineStr"/>
      <c r="F47" s="22" t="n">
        <v>1</v>
      </c>
      <c r="G47" s="24" t="n">
        <v>1</v>
      </c>
      <c r="H47" s="22" t="b">
        <v>0</v>
      </c>
      <c r="I47" s="22" t="inlineStr">
        <is>
          <t>GENERAL</t>
        </is>
      </c>
      <c r="J47" s="22" t="inlineStr">
        <is>
          <t>no_answer</t>
        </is>
      </c>
      <c r="K47" s="22" t="n"/>
      <c r="L47" s="25" t="n">
        <v>0</v>
      </c>
      <c r="M47" s="25" t="n">
        <v>0.4859583720553668</v>
      </c>
      <c r="N47" s="25" t="n">
        <v>0.5</v>
      </c>
      <c r="O47" s="26" t="n">
        <v>43368.36539999704</v>
      </c>
      <c r="P47" s="22" t="inlineStr">
        <is>
          <t>hybrid</t>
        </is>
      </c>
      <c r="Q47" s="22" t="inlineStr">
        <is>
          <t>xlmr</t>
        </is>
      </c>
      <c r="R47" s="22" t="inlineStr">
        <is>
          <t>D:\GitHub\QA_system\models\reader\xlm-roberta-large-viquad</t>
        </is>
      </c>
    </row>
    <row r="48" ht="47" customHeight="1">
      <c r="A48" s="22" t="n">
        <v>47</v>
      </c>
      <c r="B48" s="22" t="inlineStr">
        <is>
          <t>0013-0001-0003</t>
        </is>
      </c>
      <c r="C48" s="23" t="inlineStr">
        <is>
          <t>Trước việc quốc hội không thông qua tiền chi phí cho chiến tranh với Tây Ban Nha và Pháp, nhà vua đã làm điều gì?</t>
        </is>
      </c>
      <c r="D48" s="23" t="inlineStr">
        <is>
          <t>tiết kiệm tiền bằng cách cho quân sĩ sống nhờ nhà dân và buộc các nhà giàu phải cho triều đình vay tiền</t>
        </is>
      </c>
      <c r="E48" s="23" t="inlineStr">
        <is>
          <t>thuế hải quan, cho vay tiền và bắt trợ cấp</t>
        </is>
      </c>
      <c r="F48" s="22" t="n">
        <v>0</v>
      </c>
      <c r="G48" s="24" t="n">
        <v>0.2424242424242424</v>
      </c>
      <c r="H48" s="22" t="b">
        <v>1</v>
      </c>
      <c r="I48" s="22" t="inlineStr">
        <is>
          <t>PERSON</t>
        </is>
      </c>
      <c r="J48" s="22" t="inlineStr">
        <is>
          <t>phrase_fallback</t>
        </is>
      </c>
      <c r="K48" s="22" t="b">
        <v>1</v>
      </c>
      <c r="L48" s="25" t="n">
        <v>0.52</v>
      </c>
      <c r="M48" s="25" t="n">
        <v>0.631838</v>
      </c>
      <c r="N48" s="25" t="n">
        <v>1</v>
      </c>
      <c r="O48" s="26" t="n">
        <v>43050.1583999971</v>
      </c>
      <c r="P48" s="22" t="inlineStr">
        <is>
          <t>hybrid</t>
        </is>
      </c>
      <c r="Q48" s="22" t="inlineStr">
        <is>
          <t>xlmr</t>
        </is>
      </c>
      <c r="R48" s="22" t="inlineStr">
        <is>
          <t>D:\GitHub\QA_system\models\reader\xlm-roberta-large-viquad</t>
        </is>
      </c>
    </row>
    <row r="49" ht="34" customHeight="1">
      <c r="A49" s="22" t="n">
        <v>48</v>
      </c>
      <c r="B49" s="22" t="inlineStr">
        <is>
          <t>0004-0012-0009</t>
        </is>
      </c>
      <c r="C49" s="23" t="inlineStr">
        <is>
          <t>Ai là người mời được Tổng thống Iraq Saddam Hussein trong buổi gặp mặt ngòai dự kiến hồi tháng 7 năm 1990?</t>
        </is>
      </c>
      <c r="D49" s="23" t="inlineStr"/>
      <c r="E49" s="23" t="inlineStr">
        <is>
          <t>Đại sứ Hoa Kỳ April Glaspie</t>
        </is>
      </c>
      <c r="F49" s="22" t="n">
        <v>0</v>
      </c>
      <c r="G49" s="24" t="n">
        <v>0</v>
      </c>
      <c r="H49" s="22" t="b">
        <v>0</v>
      </c>
      <c r="I49" s="22" t="inlineStr">
        <is>
          <t>DEFINITION</t>
        </is>
      </c>
      <c r="J49" s="22" t="inlineStr">
        <is>
          <t>neural_span</t>
        </is>
      </c>
      <c r="K49" s="22" t="n"/>
      <c r="L49" s="25" t="n">
        <v>0.6902</v>
      </c>
      <c r="M49" s="25" t="n">
        <v>0.7991200000000001</v>
      </c>
      <c r="N49" s="25" t="n">
        <v>0.85</v>
      </c>
      <c r="O49" s="26" t="n">
        <v>16039.59320000099</v>
      </c>
      <c r="P49" s="22" t="inlineStr">
        <is>
          <t>hybrid</t>
        </is>
      </c>
      <c r="Q49" s="22" t="inlineStr">
        <is>
          <t>xlmr</t>
        </is>
      </c>
      <c r="R49" s="22" t="inlineStr">
        <is>
          <t>D:\GitHub\QA_system\models\reader\xlm-roberta-large-viquad</t>
        </is>
      </c>
    </row>
    <row r="50" ht="47" customHeight="1">
      <c r="A50" s="22" t="n">
        <v>49</v>
      </c>
      <c r="B50" s="22" t="inlineStr">
        <is>
          <t>0002-0007-0006</t>
        </is>
      </c>
      <c r="C50" s="23" t="inlineStr">
        <is>
          <t>Lực lượng hải quân của lực lượng vũ trang Nouvelle-Calédonie gồm có những gì?</t>
        </is>
      </c>
      <c r="D50" s="23" t="inlineStr">
        <is>
          <t>hai tàu tuần tra lớp P400, một tàu đổ bộ lớp BATRAL, và một tàu tuần tra của Hiến binh Hàng hải</t>
        </is>
      </c>
      <c r="E50" s="23" t="inlineStr">
        <is>
          <t>hai tàu tuần tra lớp P400, một tàu đổ bộ lớp BATRAL, và một tàu tuần tra của Hiến binh Hàng hải</t>
        </is>
      </c>
      <c r="F50" s="22" t="n">
        <v>1</v>
      </c>
      <c r="G50" s="24" t="n">
        <v>1</v>
      </c>
      <c r="H50" s="22" t="b">
        <v>1</v>
      </c>
      <c r="I50" s="22" t="inlineStr">
        <is>
          <t>DEFINITION</t>
        </is>
      </c>
      <c r="J50" s="22" t="inlineStr">
        <is>
          <t>neural_span</t>
        </is>
      </c>
      <c r="K50" s="22" t="b">
        <v>1</v>
      </c>
      <c r="L50" s="25" t="n">
        <v>0.803884</v>
      </c>
      <c r="M50" s="25" t="n">
        <v>0.86733</v>
      </c>
      <c r="N50" s="25" t="n">
        <v>0.85</v>
      </c>
      <c r="O50" s="26" t="n">
        <v>14725.31340000097</v>
      </c>
      <c r="P50" s="22" t="inlineStr">
        <is>
          <t>hybrid</t>
        </is>
      </c>
      <c r="Q50" s="22" t="inlineStr">
        <is>
          <t>xlmr</t>
        </is>
      </c>
      <c r="R50" s="22" t="inlineStr">
        <is>
          <t>D:\GitHub\QA_system\models\reader\xlm-roberta-large-viquad</t>
        </is>
      </c>
    </row>
    <row r="51" ht="34" customHeight="1">
      <c r="A51" s="22" t="n">
        <v>50</v>
      </c>
      <c r="B51" s="22" t="inlineStr">
        <is>
          <t>0004-0019-0005</t>
        </is>
      </c>
      <c r="C51" s="23" t="inlineStr">
        <is>
          <t>Ả Rập Xê Út đã sử dụng bao nhiêu phi cơ F-15 để tuần tra trên bầu trời Hoa Kỳ?</t>
        </is>
      </c>
      <c r="D51" s="23" t="inlineStr"/>
      <c r="E51" s="23" t="inlineStr">
        <is>
          <t>1994</t>
        </is>
      </c>
      <c r="F51" s="22" t="n">
        <v>0</v>
      </c>
      <c r="G51" s="24" t="n">
        <v>0</v>
      </c>
      <c r="H51" s="22" t="b">
        <v>0</v>
      </c>
      <c r="I51" s="22" t="inlineStr">
        <is>
          <t>NUMBER</t>
        </is>
      </c>
      <c r="J51" s="22" t="inlineStr">
        <is>
          <t>phrase_fallback</t>
        </is>
      </c>
      <c r="K51" s="22" t="n"/>
      <c r="L51" s="25" t="n">
        <v>0.7</v>
      </c>
      <c r="M51" s="25" t="n">
        <v>0.82</v>
      </c>
      <c r="N51" s="25" t="n">
        <v>1</v>
      </c>
      <c r="O51" s="26" t="n">
        <v>15733.34599999554</v>
      </c>
      <c r="P51" s="22" t="inlineStr">
        <is>
          <t>hybrid</t>
        </is>
      </c>
      <c r="Q51" s="22" t="inlineStr">
        <is>
          <t>xlmr</t>
        </is>
      </c>
      <c r="R51" s="22" t="inlineStr">
        <is>
          <t>D:\GitHub\QA_system\models\reader\xlm-roberta-large-viquad</t>
        </is>
      </c>
    </row>
    <row r="52" ht="47" customHeight="1">
      <c r="A52" s="22" t="n">
        <v>51</v>
      </c>
      <c r="B52" s="22" t="inlineStr">
        <is>
          <t>0007-0006-0003</t>
        </is>
      </c>
      <c r="C52" s="23" t="inlineStr">
        <is>
          <t>Tại sao chính phủ Gruzia lại xóa quyền tự trị của Ossetia?</t>
        </is>
      </c>
      <c r="D52" s="23" t="inlineStr">
        <is>
          <t>Người dân Ossetia đã tẩy chay cuộc bầu cử nghị viện Gruzia sau đó và tổ chức cuộc bầu cử của riêng mình</t>
        </is>
      </c>
      <c r="E52" s="23" t="inlineStr">
        <is>
          <t>Người dân Ossetia đã tẩy chay cuộc bầu cử nghị viện Gruzia sau đó và tổ chức cuộc bầu cử của riêng mình vào tháng 12.</t>
        </is>
      </c>
      <c r="F52" s="22" t="n">
        <v>0</v>
      </c>
      <c r="G52" s="24" t="n">
        <v>0.9387755102040816</v>
      </c>
      <c r="H52" s="22" t="b">
        <v>1</v>
      </c>
      <c r="I52" s="22" t="inlineStr">
        <is>
          <t>GENERAL</t>
        </is>
      </c>
      <c r="J52" s="22" t="inlineStr">
        <is>
          <t>neural_span</t>
        </is>
      </c>
      <c r="K52" s="22" t="b">
        <v>1</v>
      </c>
      <c r="L52" s="25" t="n">
        <v>0.654036</v>
      </c>
      <c r="M52" s="25" t="n">
        <v>0.742422</v>
      </c>
      <c r="N52" s="25" t="n">
        <v>0.5</v>
      </c>
      <c r="O52" s="26" t="n">
        <v>16794.90429999883</v>
      </c>
      <c r="P52" s="22" t="inlineStr">
        <is>
          <t>hybrid</t>
        </is>
      </c>
      <c r="Q52" s="22" t="inlineStr">
        <is>
          <t>xlmr</t>
        </is>
      </c>
      <c r="R52" s="22" t="inlineStr">
        <is>
          <t>D:\GitHub\QA_system\models\reader\xlm-roberta-large-viquad</t>
        </is>
      </c>
    </row>
    <row r="53" ht="24" customHeight="1">
      <c r="A53" s="22" t="n">
        <v>52</v>
      </c>
      <c r="B53" s="22" t="inlineStr">
        <is>
          <t>0017-0071-0002</t>
        </is>
      </c>
      <c r="C53" s="23" t="inlineStr">
        <is>
          <t>Roosevelt đã bổ nhiệm James Farley cho vị trí gì?</t>
        </is>
      </c>
      <c r="D53" s="23" t="inlineStr">
        <is>
          <t>Bộ trưởng Bưu điện Hoa Kỳ</t>
        </is>
      </c>
      <c r="E53" s="23" t="inlineStr">
        <is>
          <t>William F</t>
        </is>
      </c>
      <c r="F53" s="22" t="n">
        <v>0</v>
      </c>
      <c r="G53" s="24" t="n">
        <v>0</v>
      </c>
      <c r="H53" s="22" t="b">
        <v>1</v>
      </c>
      <c r="I53" s="22" t="inlineStr">
        <is>
          <t>PERSON</t>
        </is>
      </c>
      <c r="J53" s="22" t="inlineStr">
        <is>
          <t>phrase_fallback</t>
        </is>
      </c>
      <c r="K53" s="22" t="b">
        <v>1</v>
      </c>
      <c r="L53" s="25" t="n">
        <v>0.7</v>
      </c>
      <c r="M53" s="25" t="n">
        <v>0.756176</v>
      </c>
      <c r="N53" s="25" t="n">
        <v>0.9</v>
      </c>
      <c r="O53" s="26" t="n">
        <v>13517.60050000262</v>
      </c>
      <c r="P53" s="22" t="inlineStr">
        <is>
          <t>hybrid</t>
        </is>
      </c>
      <c r="Q53" s="22" t="inlineStr">
        <is>
          <t>xlmr</t>
        </is>
      </c>
      <c r="R53" s="22" t="inlineStr">
        <is>
          <t>D:\GitHub\QA_system\models\reader\xlm-roberta-large-viquad</t>
        </is>
      </c>
    </row>
    <row r="54" ht="34" customHeight="1">
      <c r="A54" s="22" t="n">
        <v>53</v>
      </c>
      <c r="B54" s="22" t="inlineStr">
        <is>
          <t>0012-0040-0001</t>
        </is>
      </c>
      <c r="C54" s="23" t="inlineStr">
        <is>
          <t>Ông cảm thấy điều gì về người Ấn?</t>
        </is>
      </c>
      <c r="D54" s="23" t="inlineStr">
        <is>
          <t>mọi người Ấn chính là da thịt của mình, máu mủ của mình</t>
        </is>
      </c>
      <c r="E54" s="23" t="inlineStr">
        <is>
          <t>chính là da thịt của mình, máu mủ của mình</t>
        </is>
      </c>
      <c r="F54" s="22" t="n">
        <v>0</v>
      </c>
      <c r="G54" s="24" t="n">
        <v>0.8695652173913044</v>
      </c>
      <c r="H54" s="22" t="b">
        <v>1</v>
      </c>
      <c r="I54" s="22" t="inlineStr">
        <is>
          <t>DEFINITION</t>
        </is>
      </c>
      <c r="J54" s="22" t="inlineStr">
        <is>
          <t>neural_span</t>
        </is>
      </c>
      <c r="K54" s="22" t="b">
        <v>1</v>
      </c>
      <c r="L54" s="25" t="n">
        <v>0.796594</v>
      </c>
      <c r="M54" s="25" t="n">
        <v>0.872956</v>
      </c>
      <c r="N54" s="25" t="n">
        <v>0.95</v>
      </c>
      <c r="O54" s="26" t="n">
        <v>14877.06269999978</v>
      </c>
      <c r="P54" s="22" t="inlineStr">
        <is>
          <t>hybrid</t>
        </is>
      </c>
      <c r="Q54" s="22" t="inlineStr">
        <is>
          <t>xlmr</t>
        </is>
      </c>
      <c r="R54" s="22" t="inlineStr">
        <is>
          <t>D:\GitHub\QA_system\models\reader\xlm-roberta-large-viquad</t>
        </is>
      </c>
    </row>
    <row r="55" ht="34" customHeight="1">
      <c r="A55" s="22" t="n">
        <v>54</v>
      </c>
      <c r="B55" s="22" t="inlineStr">
        <is>
          <t>0001-0070-0003</t>
        </is>
      </c>
      <c r="C55" s="23" t="inlineStr">
        <is>
          <t>Quán cafe xuất hiện thứ hai ở Paris nằm ở đâu?</t>
        </is>
      </c>
      <c r="D55" s="23" t="inlineStr">
        <is>
          <t>quán Café Procope</t>
        </is>
      </c>
      <c r="E55" s="23" t="inlineStr">
        <is>
          <t>Quận 2 và " François-Mitterrand " ở Quận 13.</t>
        </is>
      </c>
      <c r="F55" s="22" t="n">
        <v>0</v>
      </c>
      <c r="G55" s="24" t="n">
        <v>0</v>
      </c>
      <c r="H55" s="22" t="b">
        <v>1</v>
      </c>
      <c r="I55" s="22" t="inlineStr">
        <is>
          <t>LOCATION</t>
        </is>
      </c>
      <c r="J55" s="22" t="inlineStr">
        <is>
          <t>neural_span</t>
        </is>
      </c>
      <c r="K55" s="22" t="b">
        <v>1</v>
      </c>
      <c r="L55" s="25" t="n">
        <v>0.321032</v>
      </c>
      <c r="M55" s="25" t="n">
        <v>0.478707</v>
      </c>
      <c r="N55" s="25" t="n">
        <v>0.85</v>
      </c>
      <c r="O55" s="26" t="n">
        <v>15865.3241000034</v>
      </c>
      <c r="P55" s="22" t="inlineStr">
        <is>
          <t>hybrid</t>
        </is>
      </c>
      <c r="Q55" s="22" t="inlineStr">
        <is>
          <t>xlmr</t>
        </is>
      </c>
      <c r="R55" s="22" t="inlineStr">
        <is>
          <t>D:\GitHub\QA_system\models\reader\xlm-roberta-large-viquad</t>
        </is>
      </c>
    </row>
    <row r="56" ht="34" customHeight="1">
      <c r="A56" s="22" t="n">
        <v>55</v>
      </c>
      <c r="B56" s="22" t="inlineStr">
        <is>
          <t>0009-0014-0002</t>
        </is>
      </c>
      <c r="C56" s="23" t="inlineStr">
        <is>
          <t>Một trong số ít người để Charles de Gaulle chỉ định làm lãnh đạo chính phủ là ai?</t>
        </is>
      </c>
      <c r="D56" s="23" t="inlineStr">
        <is>
          <t>Mitterrand</t>
        </is>
      </c>
      <c r="E56" s="23" t="inlineStr">
        <is>
          <t>Mitterrand</t>
        </is>
      </c>
      <c r="F56" s="22" t="n">
        <v>1</v>
      </c>
      <c r="G56" s="24" t="n">
        <v>1</v>
      </c>
      <c r="H56" s="22" t="b">
        <v>1</v>
      </c>
      <c r="I56" s="22" t="inlineStr">
        <is>
          <t>DEFINITION</t>
        </is>
      </c>
      <c r="J56" s="22" t="inlineStr">
        <is>
          <t>neural_span</t>
        </is>
      </c>
      <c r="K56" s="22" t="b">
        <v>1</v>
      </c>
      <c r="L56" s="25" t="n">
        <v>0.732405</v>
      </c>
      <c r="M56" s="25" t="n">
        <v>0.799443</v>
      </c>
      <c r="N56" s="25" t="n">
        <v>0.6</v>
      </c>
      <c r="O56" s="26" t="n">
        <v>17188.35169999435</v>
      </c>
      <c r="P56" s="22" t="inlineStr">
        <is>
          <t>hybrid</t>
        </is>
      </c>
      <c r="Q56" s="22" t="inlineStr">
        <is>
          <t>xlmr</t>
        </is>
      </c>
      <c r="R56" s="22" t="inlineStr">
        <is>
          <t>D:\GitHub\QA_system\models\reader\xlm-roberta-large-viquad</t>
        </is>
      </c>
    </row>
    <row r="57" ht="34" customHeight="1">
      <c r="A57" s="22" t="n">
        <v>56</v>
      </c>
      <c r="B57" s="22" t="inlineStr">
        <is>
          <t>0004-0003-0005</t>
        </is>
      </c>
      <c r="C57" s="23" t="inlineStr">
        <is>
          <t>Quyền độc lập của Kuwait không được sự chấp thuận của thế lực nào?</t>
        </is>
      </c>
      <c r="D57" s="23" t="inlineStr">
        <is>
          <t>những quan chức Iraq</t>
        </is>
      </c>
      <c r="E57" s="23" t="inlineStr">
        <is>
          <t>Iraq</t>
        </is>
      </c>
      <c r="F57" s="22" t="n">
        <v>0</v>
      </c>
      <c r="G57" s="24" t="n">
        <v>0.4</v>
      </c>
      <c r="H57" s="22" t="b">
        <v>1</v>
      </c>
      <c r="I57" s="22" t="inlineStr">
        <is>
          <t>DEFINITION</t>
        </is>
      </c>
      <c r="J57" s="22" t="inlineStr">
        <is>
          <t>neural_span</t>
        </is>
      </c>
      <c r="K57" s="22" t="b">
        <v>1</v>
      </c>
      <c r="L57" s="25" t="n">
        <v>0.750788</v>
      </c>
      <c r="M57" s="25" t="n">
        <v>0.840473</v>
      </c>
      <c r="N57" s="25" t="n">
        <v>0.9</v>
      </c>
      <c r="O57" s="26" t="n">
        <v>14976.219800002</v>
      </c>
      <c r="P57" s="22" t="inlineStr">
        <is>
          <t>hybrid</t>
        </is>
      </c>
      <c r="Q57" s="22" t="inlineStr">
        <is>
          <t>xlmr</t>
        </is>
      </c>
      <c r="R57" s="22" t="inlineStr">
        <is>
          <t>D:\GitHub\QA_system\models\reader\xlm-roberta-large-viquad</t>
        </is>
      </c>
    </row>
    <row r="58" ht="60" customHeight="1">
      <c r="A58" s="22" t="n">
        <v>57</v>
      </c>
      <c r="B58" s="22" t="inlineStr">
        <is>
          <t>0006-0012-0001</t>
        </is>
      </c>
      <c r="C58" s="23" t="inlineStr">
        <is>
          <t>Tại sao Puerto Rico không được Mỹ ủy quyền?</t>
        </is>
      </c>
      <c r="D58" s="23" t="inlineStr"/>
      <c r="E58" s="23" t="inlineStr">
        <is>
          <t>không có quyền biểu quyết (non-voting resident commissioner) tại Quốc hội Hoa Kỳ. Tất cả người Puerto Rico đều là công dân Hoa Kỳ</t>
        </is>
      </c>
      <c r="F58" s="22" t="n">
        <v>0</v>
      </c>
      <c r="G58" s="24" t="n">
        <v>0</v>
      </c>
      <c r="H58" s="22" t="b">
        <v>0</v>
      </c>
      <c r="I58" s="22" t="inlineStr">
        <is>
          <t>GENERAL</t>
        </is>
      </c>
      <c r="J58" s="22" t="inlineStr">
        <is>
          <t>neural_span</t>
        </is>
      </c>
      <c r="K58" s="22" t="n"/>
      <c r="L58" s="25" t="n">
        <v>0.389161</v>
      </c>
      <c r="M58" s="25" t="n">
        <v>0.548472</v>
      </c>
      <c r="N58" s="25" t="n">
        <v>0.5</v>
      </c>
      <c r="O58" s="26" t="n">
        <v>21112.39110000321</v>
      </c>
      <c r="P58" s="22" t="inlineStr">
        <is>
          <t>hybrid</t>
        </is>
      </c>
      <c r="Q58" s="22" t="inlineStr">
        <is>
          <t>xlmr</t>
        </is>
      </c>
      <c r="R58" s="22" t="inlineStr">
        <is>
          <t>D:\GitHub\QA_system\models\reader\xlm-roberta-large-viquad</t>
        </is>
      </c>
    </row>
    <row r="59" ht="24" customHeight="1">
      <c r="A59" s="22" t="n">
        <v>58</v>
      </c>
      <c r="B59" s="22" t="inlineStr">
        <is>
          <t>0010-0002-0007</t>
        </is>
      </c>
      <c r="C59" s="23" t="inlineStr">
        <is>
          <t>Ngòai các lọai cỏ và rau, gà tây còn có thể ăn gì?</t>
        </is>
      </c>
      <c r="D59" s="23" t="inlineStr">
        <is>
          <t>ngũ cốc, đậu đỗ, cám bã</t>
        </is>
      </c>
      <c r="E59" s="23" t="inlineStr">
        <is>
          <t>ngũ cốc, đậu đỗ, cám bã</t>
        </is>
      </c>
      <c r="F59" s="22" t="n">
        <v>1</v>
      </c>
      <c r="G59" s="24" t="n">
        <v>1</v>
      </c>
      <c r="H59" s="22" t="b">
        <v>1</v>
      </c>
      <c r="I59" s="22" t="inlineStr">
        <is>
          <t>DEFINITION</t>
        </is>
      </c>
      <c r="J59" s="22" t="inlineStr">
        <is>
          <t>neural_span</t>
        </is>
      </c>
      <c r="K59" s="22" t="b">
        <v>1</v>
      </c>
      <c r="L59" s="25" t="n">
        <v>0.777385</v>
      </c>
      <c r="M59" s="25" t="n">
        <v>0.851431</v>
      </c>
      <c r="N59" s="25" t="n">
        <v>0.85</v>
      </c>
      <c r="O59" s="26" t="n">
        <v>25149.55400000105</v>
      </c>
      <c r="P59" s="22" t="inlineStr">
        <is>
          <t>hybrid</t>
        </is>
      </c>
      <c r="Q59" s="22" t="inlineStr">
        <is>
          <t>xlmr</t>
        </is>
      </c>
      <c r="R59" s="22" t="inlineStr">
        <is>
          <t>D:\GitHub\QA_system\models\reader\xlm-roberta-large-viquad</t>
        </is>
      </c>
    </row>
    <row r="60" ht="47" customHeight="1">
      <c r="A60" s="22" t="n">
        <v>59</v>
      </c>
      <c r="B60" s="22" t="inlineStr">
        <is>
          <t>0017-0010-0001</t>
        </is>
      </c>
      <c r="C60" s="23" t="inlineStr">
        <is>
          <t>Trong chiến dịch vận động tranh cử chức Phó Tổng thống năm 1920, trong cái bài diễn văn của mình, Roosevelt đã khẳng định điểu gì?</t>
        </is>
      </c>
      <c r="D60" s="23" t="inlineStr">
        <is>
          <t>chính ông đã sọan bản hiến pháp mà Hoa Kỳ áp đặt cho Haiti năm 1915</t>
        </is>
      </c>
      <c r="E60" s="23" t="inlineStr">
        <is>
          <t>James Farley</t>
        </is>
      </c>
      <c r="F60" s="22" t="n">
        <v>0</v>
      </c>
      <c r="G60" s="24" t="n">
        <v>0</v>
      </c>
      <c r="H60" s="22" t="b">
        <v>1</v>
      </c>
      <c r="I60" s="22" t="inlineStr">
        <is>
          <t>DEFINITION</t>
        </is>
      </c>
      <c r="J60" s="22" t="inlineStr">
        <is>
          <t>phrase_fallback</t>
        </is>
      </c>
      <c r="K60" s="22" t="b">
        <v>1</v>
      </c>
      <c r="L60" s="25" t="n">
        <v>0.7</v>
      </c>
      <c r="M60" s="25" t="n">
        <v>0.756426</v>
      </c>
      <c r="N60" s="25" t="n">
        <v>0.95</v>
      </c>
      <c r="O60" s="26" t="n">
        <v>18586.33829999884</v>
      </c>
      <c r="P60" s="22" t="inlineStr">
        <is>
          <t>hybrid</t>
        </is>
      </c>
      <c r="Q60" s="22" t="inlineStr">
        <is>
          <t>xlmr</t>
        </is>
      </c>
      <c r="R60" s="22" t="inlineStr">
        <is>
          <t>D:\GitHub\QA_system\models\reader\xlm-roberta-large-viquad</t>
        </is>
      </c>
    </row>
    <row r="61" ht="24" customHeight="1">
      <c r="A61" s="22" t="n">
        <v>60</v>
      </c>
      <c r="B61" s="22" t="inlineStr">
        <is>
          <t>0006-0001-0005</t>
        </is>
      </c>
      <c r="C61" s="23" t="inlineStr">
        <is>
          <t>Dân số Puerto Rico là tập hợp của gì?</t>
        </is>
      </c>
      <c r="D61" s="23" t="inlineStr"/>
      <c r="E61" s="23" t="inlineStr">
        <is>
          <t>khỏang gần 4 triệu người</t>
        </is>
      </c>
      <c r="F61" s="22" t="n">
        <v>0</v>
      </c>
      <c r="G61" s="24" t="n">
        <v>0</v>
      </c>
      <c r="H61" s="22" t="b">
        <v>0</v>
      </c>
      <c r="I61" s="22" t="inlineStr">
        <is>
          <t>GENERAL</t>
        </is>
      </c>
      <c r="J61" s="22" t="inlineStr">
        <is>
          <t>neural_span</t>
        </is>
      </c>
      <c r="K61" s="22" t="n"/>
      <c r="L61" s="25" t="n">
        <v>0.6394609999999999</v>
      </c>
      <c r="M61" s="25" t="n">
        <v>0.724119</v>
      </c>
      <c r="N61" s="25" t="n">
        <v>0.5</v>
      </c>
      <c r="O61" s="26" t="n">
        <v>14614.0619000016</v>
      </c>
      <c r="P61" s="22" t="inlineStr">
        <is>
          <t>hybrid</t>
        </is>
      </c>
      <c r="Q61" s="22" t="inlineStr">
        <is>
          <t>xlmr</t>
        </is>
      </c>
      <c r="R61" s="22" t="inlineStr">
        <is>
          <t>D:\GitHub\QA_system\models\reader\xlm-roberta-large-viquad</t>
        </is>
      </c>
    </row>
    <row r="62" ht="24" customHeight="1">
      <c r="A62" s="22" t="n">
        <v>61</v>
      </c>
      <c r="B62" s="22" t="inlineStr">
        <is>
          <t>0009-0008-0004</t>
        </is>
      </c>
      <c r="C62" s="23" t="inlineStr">
        <is>
          <t>Tập hợp tù binh chiến tranh quốc gia đã liên kết với ai?</t>
        </is>
      </c>
      <c r="D62" s="23" t="inlineStr">
        <is>
          <t>Tướng Henri Giraud</t>
        </is>
      </c>
      <c r="E62" s="23" t="inlineStr">
        <is>
          <t>Tướng Henri Giraud</t>
        </is>
      </c>
      <c r="F62" s="22" t="n">
        <v>1</v>
      </c>
      <c r="G62" s="24" t="n">
        <v>1</v>
      </c>
      <c r="H62" s="22" t="b">
        <v>1</v>
      </c>
      <c r="I62" s="22" t="inlineStr">
        <is>
          <t>DEFINITION</t>
        </is>
      </c>
      <c r="J62" s="22" t="inlineStr">
        <is>
          <t>neural_span</t>
        </is>
      </c>
      <c r="K62" s="22" t="b">
        <v>1</v>
      </c>
      <c r="L62" s="25" t="n">
        <v>0.826387</v>
      </c>
      <c r="M62" s="25" t="n">
        <v>0.7075129999999999</v>
      </c>
      <c r="N62" s="25" t="n">
        <v>0.85</v>
      </c>
      <c r="O62" s="26" t="n">
        <v>15150.80550000328</v>
      </c>
      <c r="P62" s="22" t="inlineStr">
        <is>
          <t>hybrid</t>
        </is>
      </c>
      <c r="Q62" s="22" t="inlineStr">
        <is>
          <t>xlmr</t>
        </is>
      </c>
      <c r="R62" s="22" t="inlineStr">
        <is>
          <t>D:\GitHub\QA_system\models\reader\xlm-roberta-large-viquad</t>
        </is>
      </c>
    </row>
    <row r="63" ht="24" customHeight="1">
      <c r="A63" s="22" t="n">
        <v>62</v>
      </c>
      <c r="B63" s="22" t="inlineStr">
        <is>
          <t>0003-0042-0001</t>
        </is>
      </c>
      <c r="C63" s="23" t="inlineStr">
        <is>
          <t>Dân số của Canada đang phát triển theo xu thế nào?</t>
        </is>
      </c>
      <c r="D63" s="23" t="inlineStr">
        <is>
          <t>dân số già hơn</t>
        </is>
      </c>
      <c r="E63" s="23" t="inlineStr">
        <is>
          <t>11</t>
        </is>
      </c>
      <c r="F63" s="22" t="n">
        <v>0</v>
      </c>
      <c r="G63" s="24" t="n">
        <v>0</v>
      </c>
      <c r="H63" s="22" t="b">
        <v>1</v>
      </c>
      <c r="I63" s="22" t="inlineStr">
        <is>
          <t>PERSON</t>
        </is>
      </c>
      <c r="J63" s="22" t="inlineStr">
        <is>
          <t>phrase_fallback</t>
        </is>
      </c>
      <c r="K63" s="22" t="b">
        <v>1</v>
      </c>
      <c r="L63" s="25" t="n">
        <v>0.6879999999999999</v>
      </c>
      <c r="M63" s="25" t="n">
        <v>0.8128</v>
      </c>
      <c r="N63" s="25" t="n">
        <v>1</v>
      </c>
      <c r="O63" s="26" t="n">
        <v>14842.97559999605</v>
      </c>
      <c r="P63" s="22" t="inlineStr">
        <is>
          <t>hybrid</t>
        </is>
      </c>
      <c r="Q63" s="22" t="inlineStr">
        <is>
          <t>xlmr</t>
        </is>
      </c>
      <c r="R63" s="22" t="inlineStr">
        <is>
          <t>D:\GitHub\QA_system\models\reader\xlm-roberta-large-viquad</t>
        </is>
      </c>
    </row>
    <row r="64" ht="34" customHeight="1">
      <c r="A64" s="22" t="n">
        <v>63</v>
      </c>
      <c r="B64" s="22" t="inlineStr">
        <is>
          <t>0017-0054-0004</t>
        </is>
      </c>
      <c r="C64" s="23" t="inlineStr">
        <is>
          <t>Chiến dịch ném bom chiến lược năm 1945, đã gây thiệt hại thế nào cho Đức?</t>
        </is>
      </c>
      <c r="D64" s="23" t="inlineStr"/>
      <c r="E64" s="23" t="inlineStr">
        <is>
          <t>phá hủy khắp khu vực và gây ra 511 người tử vong</t>
        </is>
      </c>
      <c r="F64" s="22" t="n">
        <v>0</v>
      </c>
      <c r="G64" s="24" t="n">
        <v>0</v>
      </c>
      <c r="H64" s="22" t="b">
        <v>0</v>
      </c>
      <c r="I64" s="22" t="inlineStr">
        <is>
          <t>DEFINITION</t>
        </is>
      </c>
      <c r="J64" s="22" t="inlineStr">
        <is>
          <t>neural_span</t>
        </is>
      </c>
      <c r="K64" s="22" t="n"/>
      <c r="L64" s="25" t="n">
        <v>0.485203</v>
      </c>
      <c r="M64" s="25" t="n">
        <v>0.663043</v>
      </c>
      <c r="N64" s="25" t="n">
        <v>0.85</v>
      </c>
      <c r="O64" s="26" t="n">
        <v>16796.18689999491</v>
      </c>
      <c r="P64" s="22" t="inlineStr">
        <is>
          <t>hybrid</t>
        </is>
      </c>
      <c r="Q64" s="22" t="inlineStr">
        <is>
          <t>xlmr</t>
        </is>
      </c>
      <c r="R64" s="22" t="inlineStr">
        <is>
          <t>D:\GitHub\QA_system\models\reader\xlm-roberta-large-viquad</t>
        </is>
      </c>
    </row>
    <row r="65" ht="34" customHeight="1">
      <c r="A65" s="22" t="n">
        <v>64</v>
      </c>
      <c r="B65" s="22" t="inlineStr">
        <is>
          <t>0012-0009-0011</t>
        </is>
      </c>
      <c r="C65" s="23" t="inlineStr">
        <is>
          <t>Gandhi đã khuyên những người Ấn Độ làm gì với nguyên tắc bất bạo lực?</t>
        </is>
      </c>
      <c r="D65" s="23" t="inlineStr">
        <is>
          <t>phản bác luật mới và chịu đựng hình phạt</t>
        </is>
      </c>
      <c r="E65" s="23" t="inlineStr">
        <is>
          <t>phản bác luật mới và chịu đựng hình phạt</t>
        </is>
      </c>
      <c r="F65" s="22" t="n">
        <v>1</v>
      </c>
      <c r="G65" s="24" t="n">
        <v>1</v>
      </c>
      <c r="H65" s="22" t="b">
        <v>1</v>
      </c>
      <c r="I65" s="22" t="inlineStr">
        <is>
          <t>PERSON</t>
        </is>
      </c>
      <c r="J65" s="22" t="inlineStr">
        <is>
          <t>neural_span</t>
        </is>
      </c>
      <c r="K65" s="22" t="b">
        <v>1</v>
      </c>
      <c r="L65" s="25" t="n">
        <v>0.702919</v>
      </c>
      <c r="M65" s="25" t="n">
        <v>0.659147</v>
      </c>
      <c r="N65" s="25" t="n">
        <v>0.55</v>
      </c>
      <c r="O65" s="26" t="n">
        <v>16528.73860000388</v>
      </c>
      <c r="P65" s="22" t="inlineStr">
        <is>
          <t>hybrid</t>
        </is>
      </c>
      <c r="Q65" s="22" t="inlineStr">
        <is>
          <t>xlmr</t>
        </is>
      </c>
      <c r="R65" s="22" t="inlineStr">
        <is>
          <t>D:\GitHub\QA_system\models\reader\xlm-roberta-large-viquad</t>
        </is>
      </c>
    </row>
    <row r="66" ht="34" customHeight="1">
      <c r="A66" s="22" t="n">
        <v>65</v>
      </c>
      <c r="B66" s="22" t="inlineStr">
        <is>
          <t>0012-0013-0003</t>
        </is>
      </c>
      <c r="C66" s="23" t="inlineStr">
        <is>
          <t>Gandhi tổ chức một nhóm người bao gồm những ai?</t>
        </is>
      </c>
      <c r="D66" s="23" t="inlineStr">
        <is>
          <t>người giúp cố cựu và người mới từ địa phương</t>
        </is>
      </c>
      <c r="E66" s="23" t="inlineStr">
        <is>
          <t>người giúp cố cựu và người mới từ địa phương</t>
        </is>
      </c>
      <c r="F66" s="22" t="n">
        <v>1</v>
      </c>
      <c r="G66" s="24" t="n">
        <v>1</v>
      </c>
      <c r="H66" s="22" t="b">
        <v>1</v>
      </c>
      <c r="I66" s="22" t="inlineStr">
        <is>
          <t>PERSON</t>
        </is>
      </c>
      <c r="J66" s="22" t="inlineStr">
        <is>
          <t>neural_span</t>
        </is>
      </c>
      <c r="K66" s="22" t="b">
        <v>1</v>
      </c>
      <c r="L66" s="25" t="n">
        <v>0.79974</v>
      </c>
      <c r="M66" s="25" t="n">
        <v>0.81189</v>
      </c>
      <c r="N66" s="25" t="n">
        <v>0.95</v>
      </c>
      <c r="O66" s="26" t="n">
        <v>16429.77479999635</v>
      </c>
      <c r="P66" s="22" t="inlineStr">
        <is>
          <t>hybrid</t>
        </is>
      </c>
      <c r="Q66" s="22" t="inlineStr">
        <is>
          <t>xlmr</t>
        </is>
      </c>
      <c r="R66" s="22" t="inlineStr">
        <is>
          <t>D:\GitHub\QA_system\models\reader\xlm-roberta-large-viquad</t>
        </is>
      </c>
    </row>
    <row r="67" ht="34" customHeight="1">
      <c r="A67" s="22" t="n">
        <v>66</v>
      </c>
      <c r="B67" s="22" t="inlineStr">
        <is>
          <t>0001-0001-0007</t>
        </is>
      </c>
      <c r="C67" s="23" t="inlineStr">
        <is>
          <t>Vị trí địa lý của Paris có gì đặc biệt?</t>
        </is>
      </c>
      <c r="D67" s="23" t="inlineStr">
        <is>
          <t>nằm ở điểm gặp nhau của các hành trình thương mại đường bộ và đường sông</t>
        </is>
      </c>
      <c r="E67" s="23" t="inlineStr">
        <is>
          <t>nhà hàng Jules Verne nằm trên tầng hai của tháp Eiffel</t>
        </is>
      </c>
      <c r="F67" s="22" t="n">
        <v>0</v>
      </c>
      <c r="G67" s="24" t="n">
        <v>0.1481481481481481</v>
      </c>
      <c r="H67" s="22" t="b">
        <v>1</v>
      </c>
      <c r="I67" s="22" t="inlineStr">
        <is>
          <t>LOCATION</t>
        </is>
      </c>
      <c r="J67" s="22" t="inlineStr">
        <is>
          <t>neural_span</t>
        </is>
      </c>
      <c r="K67" s="22" t="b">
        <v>0</v>
      </c>
      <c r="L67" s="25" t="n">
        <v>0.585795</v>
      </c>
      <c r="M67" s="25" t="n">
        <v>0.736477</v>
      </c>
      <c r="N67" s="25" t="n">
        <v>0.85</v>
      </c>
      <c r="O67" s="26" t="n">
        <v>15183.23560000432</v>
      </c>
      <c r="P67" s="22" t="inlineStr">
        <is>
          <t>hybrid</t>
        </is>
      </c>
      <c r="Q67" s="22" t="inlineStr">
        <is>
          <t>xlmr</t>
        </is>
      </c>
      <c r="R67" s="22" t="inlineStr">
        <is>
          <t>D:\GitHub\QA_system\models\reader\xlm-roberta-large-viquad</t>
        </is>
      </c>
    </row>
    <row r="68" ht="34" customHeight="1">
      <c r="A68" s="22" t="n">
        <v>67</v>
      </c>
      <c r="B68" s="22" t="inlineStr">
        <is>
          <t>0001-0070-0001</t>
        </is>
      </c>
      <c r="C68" s="23" t="inlineStr">
        <is>
          <t>Nhờ vào đâu mà hình thức cà phê thềm phát triển?</t>
        </is>
      </c>
      <c r="D68" s="23" t="inlineStr">
        <is>
          <t>quy họach lại thành phố cùng sự xuất hiện các đại lộ lớn với vỉa hè</t>
        </is>
      </c>
      <c r="E68" s="23" t="inlineStr"/>
      <c r="F68" s="22" t="n">
        <v>0</v>
      </c>
      <c r="G68" s="24" t="n">
        <v>0</v>
      </c>
      <c r="H68" s="22" t="b">
        <v>1</v>
      </c>
      <c r="I68" s="22" t="inlineStr">
        <is>
          <t>LOCATION</t>
        </is>
      </c>
      <c r="J68" s="22" t="inlineStr">
        <is>
          <t>no_answer</t>
        </is>
      </c>
      <c r="K68" s="22" t="b">
        <v>1</v>
      </c>
      <c r="L68" s="25" t="n">
        <v>0</v>
      </c>
      <c r="M68" s="25" t="n">
        <v>0.05226839999999999</v>
      </c>
      <c r="N68" s="25" t="n">
        <v>0.2475</v>
      </c>
      <c r="O68" s="26" t="n">
        <v>16946.91250000003</v>
      </c>
      <c r="P68" s="22" t="inlineStr">
        <is>
          <t>hybrid</t>
        </is>
      </c>
      <c r="Q68" s="22" t="inlineStr">
        <is>
          <t>xlmr</t>
        </is>
      </c>
      <c r="R68" s="22" t="inlineStr">
        <is>
          <t>D:\GitHub\QA_system\models\reader\xlm-roberta-large-viquad</t>
        </is>
      </c>
    </row>
    <row r="69" ht="34" customHeight="1">
      <c r="A69" s="22" t="n">
        <v>68</v>
      </c>
      <c r="B69" s="22" t="inlineStr">
        <is>
          <t>0006-0009-0004</t>
        </is>
      </c>
      <c r="C69" s="23" t="inlineStr">
        <is>
          <t>Cùng với thượng viện thì cần thêm cơ quan nào nữa để tạo ra một đất nước có quốc hội lưỡng viện như Puerto Rico?</t>
        </is>
      </c>
      <c r="D69" s="23" t="inlineStr">
        <is>
          <t>hạ viện</t>
        </is>
      </c>
      <c r="E69" s="23" t="inlineStr">
        <is>
          <t>hạ viện</t>
        </is>
      </c>
      <c r="F69" s="22" t="n">
        <v>1</v>
      </c>
      <c r="G69" s="24" t="n">
        <v>1</v>
      </c>
      <c r="H69" s="22" t="b">
        <v>1</v>
      </c>
      <c r="I69" s="22" t="inlineStr">
        <is>
          <t>GENERAL</t>
        </is>
      </c>
      <c r="J69" s="22" t="inlineStr">
        <is>
          <t>neural_span</t>
        </is>
      </c>
      <c r="K69" s="22" t="b">
        <v>1</v>
      </c>
      <c r="L69" s="25" t="n">
        <v>0.696878</v>
      </c>
      <c r="M69" s="25" t="n">
        <v>0.768127</v>
      </c>
      <c r="N69" s="25" t="n">
        <v>0.5</v>
      </c>
      <c r="O69" s="26" t="n">
        <v>19440.84299999831</v>
      </c>
      <c r="P69" s="22" t="inlineStr">
        <is>
          <t>hybrid</t>
        </is>
      </c>
      <c r="Q69" s="22" t="inlineStr">
        <is>
          <t>xlmr</t>
        </is>
      </c>
      <c r="R69" s="22" t="inlineStr">
        <is>
          <t>D:\GitHub\QA_system\models\reader\xlm-roberta-large-viquad</t>
        </is>
      </c>
    </row>
    <row r="70" ht="34" customHeight="1">
      <c r="A70" s="22" t="n">
        <v>69</v>
      </c>
      <c r="B70" s="22" t="inlineStr">
        <is>
          <t>0003-0046-0006</t>
        </is>
      </c>
      <c r="C70" s="23" t="inlineStr">
        <is>
          <t>Việc gì góp phần vào việc đưa con số người biết chữ của người dân Canada lên 99%?</t>
        </is>
      </c>
      <c r="D70" s="23" t="inlineStr">
        <is>
          <t>Độ tuổi bắt buộc đến trường có phạm vi từ 5–7 đến 16–18 tuổi</t>
        </is>
      </c>
      <c r="E70" s="23" t="inlineStr">
        <is>
          <t>Độ tuổi bắt buộc đến trường có phạm vi từ 5–7 đến 16–18 tuổi</t>
        </is>
      </c>
      <c r="F70" s="22" t="n">
        <v>1</v>
      </c>
      <c r="G70" s="24" t="n">
        <v>1</v>
      </c>
      <c r="H70" s="22" t="b">
        <v>1</v>
      </c>
      <c r="I70" s="22" t="inlineStr">
        <is>
          <t>GENERAL</t>
        </is>
      </c>
      <c r="J70" s="22" t="inlineStr">
        <is>
          <t>neural_span</t>
        </is>
      </c>
      <c r="K70" s="22" t="b">
        <v>1</v>
      </c>
      <c r="L70" s="25" t="n">
        <v>0.725939</v>
      </c>
      <c r="M70" s="25" t="n">
        <v>0.785563</v>
      </c>
      <c r="N70" s="25" t="n">
        <v>0.5</v>
      </c>
      <c r="O70" s="26" t="n">
        <v>14348.71979999676</v>
      </c>
      <c r="P70" s="22" t="inlineStr">
        <is>
          <t>hybrid</t>
        </is>
      </c>
      <c r="Q70" s="22" t="inlineStr">
        <is>
          <t>xlmr</t>
        </is>
      </c>
      <c r="R70" s="22" t="inlineStr">
        <is>
          <t>D:\GitHub\QA_system\models\reader\xlm-roberta-large-viquad</t>
        </is>
      </c>
    </row>
    <row r="71" ht="24" customHeight="1">
      <c r="A71" s="22" t="n">
        <v>70</v>
      </c>
      <c r="B71" s="22" t="inlineStr">
        <is>
          <t>0012-0001-0004</t>
        </is>
      </c>
      <c r="C71" s="23" t="inlineStr">
        <is>
          <t>Gandhi sinh năm nào?</t>
        </is>
      </c>
      <c r="D71" s="23" t="inlineStr">
        <is>
          <t>1869</t>
        </is>
      </c>
      <c r="E71" s="23" t="inlineStr">
        <is>
          <t>1915</t>
        </is>
      </c>
      <c r="F71" s="22" t="n">
        <v>0</v>
      </c>
      <c r="G71" s="24" t="n">
        <v>0</v>
      </c>
      <c r="H71" s="22" t="b">
        <v>1</v>
      </c>
      <c r="I71" s="22" t="inlineStr">
        <is>
          <t>PERSON</t>
        </is>
      </c>
      <c r="J71" s="22" t="inlineStr">
        <is>
          <t>neural_span</t>
        </is>
      </c>
      <c r="K71" s="22" t="b">
        <v>0</v>
      </c>
      <c r="L71" s="25" t="n">
        <v>0.544327</v>
      </c>
      <c r="M71" s="25" t="n">
        <v>0.696596</v>
      </c>
      <c r="N71" s="25" t="n">
        <v>0.7</v>
      </c>
      <c r="O71" s="26" t="n">
        <v>13914.52580000134</v>
      </c>
      <c r="P71" s="22" t="inlineStr">
        <is>
          <t>hybrid</t>
        </is>
      </c>
      <c r="Q71" s="22" t="inlineStr">
        <is>
          <t>xlmr</t>
        </is>
      </c>
      <c r="R71" s="22" t="inlineStr">
        <is>
          <t>D:\GitHub\QA_system\models\reader\xlm-roberta-large-viquad</t>
        </is>
      </c>
    </row>
    <row r="72" ht="34" customHeight="1">
      <c r="A72" s="22" t="n">
        <v>71</v>
      </c>
      <c r="B72" s="22" t="inlineStr">
        <is>
          <t>0001-0009-0007</t>
        </is>
      </c>
      <c r="C72" s="23" t="inlineStr">
        <is>
          <t>Việc lọai bỏ cặn CaCO3 đã từ lâu được di dời từ sông Sen đến đâu?</t>
        </is>
      </c>
      <c r="D72" s="23" t="inlineStr"/>
      <c r="E72" s="23" t="inlineStr"/>
      <c r="F72" s="22" t="n">
        <v>1</v>
      </c>
      <c r="G72" s="24" t="n">
        <v>1</v>
      </c>
      <c r="H72" s="22" t="b">
        <v>0</v>
      </c>
      <c r="I72" s="22" t="inlineStr">
        <is>
          <t>GENERAL</t>
        </is>
      </c>
      <c r="J72" s="22" t="inlineStr">
        <is>
          <t>no_answer</t>
        </is>
      </c>
      <c r="K72" s="22" t="n"/>
      <c r="L72" s="25" t="n">
        <v>0</v>
      </c>
      <c r="M72" s="25" t="n">
        <v>0.520664755309897</v>
      </c>
      <c r="N72" s="25" t="n">
        <v>0.5</v>
      </c>
      <c r="O72" s="26" t="n">
        <v>15184.0713999992</v>
      </c>
      <c r="P72" s="22" t="inlineStr">
        <is>
          <t>hybrid</t>
        </is>
      </c>
      <c r="Q72" s="22" t="inlineStr">
        <is>
          <t>xlmr</t>
        </is>
      </c>
      <c r="R72" s="22" t="inlineStr">
        <is>
          <t>D:\GitHub\QA_system\models\reader\xlm-roberta-large-viquad</t>
        </is>
      </c>
    </row>
    <row r="73" ht="34" customHeight="1">
      <c r="A73" s="22" t="n">
        <v>72</v>
      </c>
      <c r="B73" s="22" t="inlineStr">
        <is>
          <t>0015-0040-0001</t>
        </is>
      </c>
      <c r="C73" s="23" t="inlineStr">
        <is>
          <t>Nếu được xếp hạng 1 trong bảng xếp hạng môi trường báo chí thì điều đó đồng nghĩa với điều gì đối với các sinh viên?</t>
        </is>
      </c>
      <c r="D73" s="23" t="inlineStr"/>
      <c r="E73" s="23" t="inlineStr">
        <is>
          <t>tự do nhất</t>
        </is>
      </c>
      <c r="F73" s="22" t="n">
        <v>0</v>
      </c>
      <c r="G73" s="24" t="n">
        <v>0</v>
      </c>
      <c r="H73" s="22" t="b">
        <v>0</v>
      </c>
      <c r="I73" s="22" t="inlineStr">
        <is>
          <t>DEFINITION</t>
        </is>
      </c>
      <c r="J73" s="22" t="inlineStr">
        <is>
          <t>neural_span</t>
        </is>
      </c>
      <c r="K73" s="22" t="n"/>
      <c r="L73" s="25" t="n">
        <v>0.593927</v>
      </c>
      <c r="M73" s="25" t="n">
        <v>0.741356</v>
      </c>
      <c r="N73" s="25" t="n">
        <v>0.85</v>
      </c>
      <c r="O73" s="26" t="n">
        <v>18375.55630000227</v>
      </c>
      <c r="P73" s="22" t="inlineStr">
        <is>
          <t>hybrid</t>
        </is>
      </c>
      <c r="Q73" s="22" t="inlineStr">
        <is>
          <t>xlmr</t>
        </is>
      </c>
      <c r="R73" s="22" t="inlineStr">
        <is>
          <t>D:\GitHub\QA_system\models\reader\xlm-roberta-large-viquad</t>
        </is>
      </c>
    </row>
    <row r="74" ht="47" customHeight="1">
      <c r="A74" s="22" t="n">
        <v>73</v>
      </c>
      <c r="B74" s="22" t="inlineStr">
        <is>
          <t>0017-0060-0005</t>
        </is>
      </c>
      <c r="C74" s="23" t="inlineStr">
        <is>
          <t>Cuộc gặp gỡ giữa Abdulaziz và vua Roosevelt có ý nghĩa như thế nào?</t>
        </is>
      </c>
      <c r="D74" s="23" t="inlineStr"/>
      <c r="E74" s="23" t="inlineStr">
        <is>
          <t>mang ý nghĩa trọng đại trong quan hệ ngọai giao giữa Hoa Kỳ và Ả Rập Xê Út thậm chí cho đến ngày nay</t>
        </is>
      </c>
      <c r="F74" s="22" t="n">
        <v>0</v>
      </c>
      <c r="G74" s="24" t="n">
        <v>0</v>
      </c>
      <c r="H74" s="22" t="b">
        <v>0</v>
      </c>
      <c r="I74" s="22" t="inlineStr">
        <is>
          <t>DEFINITION</t>
        </is>
      </c>
      <c r="J74" s="22" t="inlineStr">
        <is>
          <t>neural_span</t>
        </is>
      </c>
      <c r="K74" s="22" t="n"/>
      <c r="L74" s="25" t="n">
        <v>0.357657</v>
      </c>
      <c r="M74" s="25" t="n">
        <v>0.599594</v>
      </c>
      <c r="N74" s="25" t="n">
        <v>0.85</v>
      </c>
      <c r="O74" s="26" t="n">
        <v>41704.1824000011</v>
      </c>
      <c r="P74" s="22" t="inlineStr">
        <is>
          <t>hybrid</t>
        </is>
      </c>
      <c r="Q74" s="22" t="inlineStr">
        <is>
          <t>xlmr</t>
        </is>
      </c>
      <c r="R74" s="22" t="inlineStr">
        <is>
          <t>D:\GitHub\QA_system\models\reader\xlm-roberta-large-viquad</t>
        </is>
      </c>
    </row>
    <row r="75" ht="34" customHeight="1">
      <c r="A75" s="22" t="n">
        <v>74</v>
      </c>
      <c r="B75" s="22" t="inlineStr">
        <is>
          <t>0019-0015-0005</t>
        </is>
      </c>
      <c r="C75" s="23" t="inlineStr">
        <is>
          <t>Tình hình tại Texas như thế nào trong vòng hai tháng đầu của năm 1836?</t>
        </is>
      </c>
      <c r="D75" s="23" t="inlineStr">
        <is>
          <t>Texas lâm vào tình trạng không có sự quản lý tòan bộ</t>
        </is>
      </c>
      <c r="E75" s="23" t="inlineStr">
        <is>
          <t>Texas lâm vào tình trạng không có sự quản lý tòan bộ</t>
        </is>
      </c>
      <c r="F75" s="22" t="n">
        <v>1</v>
      </c>
      <c r="G75" s="24" t="n">
        <v>1</v>
      </c>
      <c r="H75" s="22" t="b">
        <v>1</v>
      </c>
      <c r="I75" s="22" t="inlineStr">
        <is>
          <t>LOCATION</t>
        </is>
      </c>
      <c r="J75" s="22" t="inlineStr">
        <is>
          <t>neural_span</t>
        </is>
      </c>
      <c r="K75" s="22" t="b">
        <v>1</v>
      </c>
      <c r="L75" s="25" t="n">
        <v>0.812477</v>
      </c>
      <c r="M75" s="25" t="n">
        <v>0.872486</v>
      </c>
      <c r="N75" s="25" t="n">
        <v>0.85</v>
      </c>
      <c r="O75" s="26" t="n">
        <v>14327.90649999696</v>
      </c>
      <c r="P75" s="22" t="inlineStr">
        <is>
          <t>hybrid</t>
        </is>
      </c>
      <c r="Q75" s="22" t="inlineStr">
        <is>
          <t>xlmr</t>
        </is>
      </c>
      <c r="R75" s="22" t="inlineStr">
        <is>
          <t>D:\GitHub\QA_system\models\reader\xlm-roberta-large-viquad</t>
        </is>
      </c>
    </row>
    <row r="76" ht="34" customHeight="1">
      <c r="A76" s="22" t="n">
        <v>75</v>
      </c>
      <c r="B76" s="22" t="inlineStr">
        <is>
          <t>0015-0022-0007</t>
        </is>
      </c>
      <c r="C76" s="23" t="inlineStr">
        <is>
          <t>Điều kiện để nghị viên có thể làm vô hiệu hóa sự ngăn cản từ Tổng thống Mông Cổ đến quyết định của họ là gì?</t>
        </is>
      </c>
      <c r="D76" s="23" t="inlineStr">
        <is>
          <t>biểu quyết thuận với hơn hai phần ba số phiếu</t>
        </is>
      </c>
      <c r="E76" s="23" t="inlineStr">
        <is>
          <t>biểu quyết thuận với hơn hai phần ba số phiếu</t>
        </is>
      </c>
      <c r="F76" s="22" t="n">
        <v>1</v>
      </c>
      <c r="G76" s="24" t="n">
        <v>1</v>
      </c>
      <c r="H76" s="22" t="b">
        <v>1</v>
      </c>
      <c r="I76" s="22" t="inlineStr">
        <is>
          <t>PERSON</t>
        </is>
      </c>
      <c r="J76" s="22" t="inlineStr">
        <is>
          <t>neural_span</t>
        </is>
      </c>
      <c r="K76" s="22" t="b">
        <v>1</v>
      </c>
      <c r="L76" s="25" t="n">
        <v>0.656753</v>
      </c>
      <c r="M76" s="25" t="n">
        <v>0.794052</v>
      </c>
      <c r="N76" s="25" t="n">
        <v>1</v>
      </c>
      <c r="O76" s="26" t="n">
        <v>14366.6683000059</v>
      </c>
      <c r="P76" s="22" t="inlineStr">
        <is>
          <t>hybrid</t>
        </is>
      </c>
      <c r="Q76" s="22" t="inlineStr">
        <is>
          <t>xlmr</t>
        </is>
      </c>
      <c r="R76" s="22" t="inlineStr">
        <is>
          <t>D:\GitHub\QA_system\models\reader\xlm-roberta-large-viquad</t>
        </is>
      </c>
    </row>
    <row r="77" ht="34" customHeight="1">
      <c r="A77" s="22" t="n">
        <v>76</v>
      </c>
      <c r="B77" s="22" t="inlineStr">
        <is>
          <t>0006-0010-0003</t>
        </is>
      </c>
      <c r="C77" s="23" t="inlineStr">
        <is>
          <t>Chính quyền Puerto Rico đã thực hiện nhiều cuộc tấn công nhằm vào nhân vật quan trọng nào của Mỹ?</t>
        </is>
      </c>
      <c r="D77" s="23" t="inlineStr">
        <is>
          <t>tổng thống Harry Truman</t>
        </is>
      </c>
      <c r="E77" s="23" t="inlineStr">
        <is>
          <t>tổng thống Harry Truman</t>
        </is>
      </c>
      <c r="F77" s="22" t="n">
        <v>1</v>
      </c>
      <c r="G77" s="24" t="n">
        <v>1</v>
      </c>
      <c r="H77" s="22" t="b">
        <v>1</v>
      </c>
      <c r="I77" s="22" t="inlineStr">
        <is>
          <t>DEFINITION</t>
        </is>
      </c>
      <c r="J77" s="22" t="inlineStr">
        <is>
          <t>neural_span</t>
        </is>
      </c>
      <c r="K77" s="22" t="b">
        <v>1</v>
      </c>
      <c r="L77" s="25" t="n">
        <v>0.609803</v>
      </c>
      <c r="M77" s="25" t="n">
        <v>0.712472</v>
      </c>
      <c r="N77" s="25" t="n">
        <v>0.85</v>
      </c>
      <c r="O77" s="26" t="n">
        <v>15665.74979999795</v>
      </c>
      <c r="P77" s="22" t="inlineStr">
        <is>
          <t>hybrid</t>
        </is>
      </c>
      <c r="Q77" s="22" t="inlineStr">
        <is>
          <t>xlmr</t>
        </is>
      </c>
      <c r="R77" s="22" t="inlineStr">
        <is>
          <t>D:\GitHub\QA_system\models\reader\xlm-roberta-large-viquad</t>
        </is>
      </c>
    </row>
    <row r="78" ht="47" customHeight="1">
      <c r="A78" s="22" t="n">
        <v>77</v>
      </c>
      <c r="B78" s="22" t="inlineStr">
        <is>
          <t>0012-0007-0002</t>
        </is>
      </c>
      <c r="C78" s="23" t="inlineStr">
        <is>
          <t>Tại sao ông bị vất ra khỏi xe lửa tại Pietermaritzburg?</t>
        </is>
      </c>
      <c r="D78" s="23" t="inlineStr">
        <is>
          <t>sau khi từ chối chuyển từ toa xe hạng nhất đến toa hạng ba</t>
        </is>
      </c>
      <c r="E78" s="23" t="inlineStr">
        <is>
          <t>từ chối chuyển từ toa xe hạng nhất đến toa hạng ba, vốn thường được những người da màu sử dụng mặc dù đã mua vé hạng nhất</t>
        </is>
      </c>
      <c r="F78" s="22" t="n">
        <v>0</v>
      </c>
      <c r="G78" s="24" t="n">
        <v>0.5714285714285714</v>
      </c>
      <c r="H78" s="22" t="b">
        <v>1</v>
      </c>
      <c r="I78" s="22" t="inlineStr">
        <is>
          <t>GENERAL</t>
        </is>
      </c>
      <c r="J78" s="22" t="inlineStr">
        <is>
          <t>neural_span</t>
        </is>
      </c>
      <c r="K78" s="22" t="b">
        <v>1</v>
      </c>
      <c r="L78" s="25" t="n">
        <v>0.805472</v>
      </c>
      <c r="M78" s="25" t="n">
        <v>0.760791</v>
      </c>
      <c r="N78" s="25" t="n">
        <v>0.5</v>
      </c>
      <c r="O78" s="26" t="n">
        <v>16548.61210000049</v>
      </c>
      <c r="P78" s="22" t="inlineStr">
        <is>
          <t>hybrid</t>
        </is>
      </c>
      <c r="Q78" s="22" t="inlineStr">
        <is>
          <t>xlmr</t>
        </is>
      </c>
      <c r="R78" s="22" t="inlineStr">
        <is>
          <t>D:\GitHub\QA_system\models\reader\xlm-roberta-large-viquad</t>
        </is>
      </c>
    </row>
    <row r="79" ht="34" customHeight="1">
      <c r="A79" s="22" t="n">
        <v>78</v>
      </c>
      <c r="B79" s="22" t="inlineStr">
        <is>
          <t>0018-0003-0005</t>
        </is>
      </c>
      <c r="C79" s="23" t="inlineStr">
        <is>
          <t>Sau cuộc đảo chính quân sự thành công, chế độ cai trị của chính quyền mới được nhận xét như thế nào?</t>
        </is>
      </c>
      <c r="D79" s="23" t="inlineStr">
        <is>
          <t>chế độ cai trị độc tài và khát máu</t>
        </is>
      </c>
      <c r="E79" s="23" t="inlineStr">
        <is>
          <t>chế độ quân chủ chuyên chế</t>
        </is>
      </c>
      <c r="F79" s="22" t="n">
        <v>0</v>
      </c>
      <c r="G79" s="24" t="n">
        <v>0.2666666666666667</v>
      </c>
      <c r="H79" s="22" t="b">
        <v>1</v>
      </c>
      <c r="I79" s="22" t="inlineStr">
        <is>
          <t>DEFINITION</t>
        </is>
      </c>
      <c r="J79" s="22" t="inlineStr">
        <is>
          <t>neural_span</t>
        </is>
      </c>
      <c r="K79" s="22" t="b">
        <v>0</v>
      </c>
      <c r="L79" s="25" t="n">
        <v>0.533722</v>
      </c>
      <c r="M79" s="25" t="n">
        <v>0.705233</v>
      </c>
      <c r="N79" s="25" t="n">
        <v>0.85</v>
      </c>
      <c r="O79" s="26" t="n">
        <v>14843.62400000432</v>
      </c>
      <c r="P79" s="22" t="inlineStr">
        <is>
          <t>hybrid</t>
        </is>
      </c>
      <c r="Q79" s="22" t="inlineStr">
        <is>
          <t>xlmr</t>
        </is>
      </c>
      <c r="R79" s="22" t="inlineStr">
        <is>
          <t>D:\GitHub\QA_system\models\reader\xlm-roberta-large-viquad</t>
        </is>
      </c>
    </row>
    <row r="80" ht="47" customHeight="1">
      <c r="A80" s="22" t="n">
        <v>79</v>
      </c>
      <c r="B80" s="22" t="inlineStr">
        <is>
          <t>0017-0040-0004</t>
        </is>
      </c>
      <c r="C80" s="23" t="inlineStr">
        <is>
          <t>Việc bức điện tín "Good man" được Roosevelt gửi đến cho Neville Chamberlain khi ông này trở về Luân Đôn, đã gây nên tranh cãi gì về ý nghĩa bức điện tín này?</t>
        </is>
      </c>
      <c r="D80" s="23" t="inlineStr">
        <is>
          <t>Phần đông ý kiến cho rằng bức điện tín mang ý nghĩa chúc mừng trong khi nhóm thiểu số thì phản bác lời giải nghĩa đó</t>
        </is>
      </c>
      <c r="E80" s="23" t="inlineStr">
        <is>
          <t>cho đến nay vẫn còn là chủ đề gây nhiều tranh cãi</t>
        </is>
      </c>
      <c r="F80" s="22" t="n">
        <v>0</v>
      </c>
      <c r="G80" s="24" t="n">
        <v>0.05263157894736842</v>
      </c>
      <c r="H80" s="22" t="b">
        <v>1</v>
      </c>
      <c r="I80" s="22" t="inlineStr">
        <is>
          <t>DEFINITION</t>
        </is>
      </c>
      <c r="J80" s="22" t="inlineStr">
        <is>
          <t>neural_span</t>
        </is>
      </c>
      <c r="K80" s="22" t="b">
        <v>1</v>
      </c>
      <c r="L80" s="25" t="n">
        <v>0.7028720000000001</v>
      </c>
      <c r="M80" s="25" t="n">
        <v>0.574815</v>
      </c>
      <c r="N80" s="25" t="n">
        <v>0.95</v>
      </c>
      <c r="O80" s="26" t="n">
        <v>39308.97580000031</v>
      </c>
      <c r="P80" s="22" t="inlineStr">
        <is>
          <t>hybrid</t>
        </is>
      </c>
      <c r="Q80" s="22" t="inlineStr">
        <is>
          <t>xlmr</t>
        </is>
      </c>
      <c r="R80" s="22" t="inlineStr">
        <is>
          <t>D:\GitHub\QA_system\models\reader\xlm-roberta-large-viquad</t>
        </is>
      </c>
    </row>
    <row r="81" ht="60" customHeight="1">
      <c r="A81" s="22" t="n">
        <v>80</v>
      </c>
      <c r="B81" s="22" t="inlineStr">
        <is>
          <t>0006-0001-0002</t>
        </is>
      </c>
      <c r="C81" s="23" t="inlineStr">
        <is>
          <t>Hòn đảo có diện tích bé nhất trong bốn đảo Đại Antilles tọa lạc ở vị trí nào so với lãnh thổ nước Dominicana?</t>
        </is>
      </c>
      <c r="D81" s="23" t="inlineStr">
        <is>
          <t>phía đông</t>
        </is>
      </c>
      <c r="E81" s="23" t="inlineStr">
        <is>
          <t>Trong nhóm 4 đảo Đại Antilles (bao gồm các đảo Cuba, Hispaniola, Jamaica và Puerto Rico), Puerto Rico là hòn đảo có diện tích nhỏ nhất nhưng lại đứng thứ ba về dân số.</t>
        </is>
      </c>
      <c r="F81" s="22" t="n">
        <v>0</v>
      </c>
      <c r="G81" s="24" t="n">
        <v>0</v>
      </c>
      <c r="H81" s="22" t="b">
        <v>1</v>
      </c>
      <c r="I81" s="22" t="inlineStr">
        <is>
          <t>DEFINITION</t>
        </is>
      </c>
      <c r="J81" s="22" t="inlineStr">
        <is>
          <t>sentence_fallback</t>
        </is>
      </c>
      <c r="K81" s="22" t="b">
        <v>1</v>
      </c>
      <c r="L81" s="25" t="n">
        <v>0.532</v>
      </c>
      <c r="M81" s="25" t="n">
        <v>0.5094880000000001</v>
      </c>
      <c r="N81" s="25" t="n">
        <v>0.85</v>
      </c>
      <c r="O81" s="26" t="n">
        <v>30481.44409999793</v>
      </c>
      <c r="P81" s="22" t="inlineStr">
        <is>
          <t>hybrid</t>
        </is>
      </c>
      <c r="Q81" s="22" t="inlineStr">
        <is>
          <t>xlmr</t>
        </is>
      </c>
      <c r="R81" s="22" t="inlineStr">
        <is>
          <t>D:\GitHub\QA_system\models\reader\xlm-roberta-large-viquad</t>
        </is>
      </c>
    </row>
    <row r="82" ht="34" customHeight="1">
      <c r="A82" s="22" t="n">
        <v>81</v>
      </c>
      <c r="B82" s="22" t="inlineStr">
        <is>
          <t>0015-0030-0002</t>
        </is>
      </c>
      <c r="C82" s="23" t="inlineStr">
        <is>
          <t>Điều gì xảy ra trước sự gia tăng về kinh tế và dân số khá trẻ tại Mông Cổ?</t>
        </is>
      </c>
      <c r="D82" s="23" t="inlineStr"/>
      <c r="E82" s="23" t="inlineStr"/>
      <c r="F82" s="22" t="n">
        <v>1</v>
      </c>
      <c r="G82" s="24" t="n">
        <v>1</v>
      </c>
      <c r="H82" s="22" t="b">
        <v>0</v>
      </c>
      <c r="I82" s="22" t="inlineStr">
        <is>
          <t>LOCATION</t>
        </is>
      </c>
      <c r="J82" s="22" t="inlineStr">
        <is>
          <t>no_answer</t>
        </is>
      </c>
      <c r="K82" s="22" t="n"/>
      <c r="L82" s="25" t="n">
        <v>0</v>
      </c>
      <c r="M82" s="25" t="n">
        <v>0.52576</v>
      </c>
      <c r="N82" s="25" t="n">
        <v>0.85</v>
      </c>
      <c r="O82" s="26" t="n">
        <v>16414.9446000001</v>
      </c>
      <c r="P82" s="22" t="inlineStr">
        <is>
          <t>hybrid</t>
        </is>
      </c>
      <c r="Q82" s="22" t="inlineStr">
        <is>
          <t>xlmr</t>
        </is>
      </c>
      <c r="R82" s="22" t="inlineStr">
        <is>
          <t>D:\GitHub\QA_system\models\reader\xlm-roberta-large-viquad</t>
        </is>
      </c>
    </row>
    <row r="83" ht="34" customHeight="1">
      <c r="A83" s="22" t="n">
        <v>82</v>
      </c>
      <c r="B83" s="22" t="inlineStr">
        <is>
          <t>0017-0013-0004</t>
        </is>
      </c>
      <c r="C83" s="23" t="inlineStr">
        <is>
          <t>Việc bị bại liệt khiến cho Roosevelt đã có những quyết định gì khi ông trở thành Tổng thống Hoa Kỳ?</t>
        </is>
      </c>
      <c r="D83" s="23" t="inlineStr">
        <is>
          <t>Roosevelt giúp thành lập Qũy Quốc gia cho Trẻ em bại liệt</t>
        </is>
      </c>
      <c r="E83" s="23" t="inlineStr">
        <is>
          <t>Roosevelt giúp thành lập Qũy Quốc gia cho Trẻ em bại liệt</t>
        </is>
      </c>
      <c r="F83" s="22" t="n">
        <v>1</v>
      </c>
      <c r="G83" s="24" t="n">
        <v>1</v>
      </c>
      <c r="H83" s="22" t="b">
        <v>1</v>
      </c>
      <c r="I83" s="22" t="inlineStr">
        <is>
          <t>PERSON</t>
        </is>
      </c>
      <c r="J83" s="22" t="inlineStr">
        <is>
          <t>neural_span</t>
        </is>
      </c>
      <c r="K83" s="22" t="b">
        <v>1</v>
      </c>
      <c r="L83" s="25" t="n">
        <v>0.616371</v>
      </c>
      <c r="M83" s="25" t="n">
        <v>0.6765060000000001</v>
      </c>
      <c r="N83" s="25" t="n">
        <v>0.85</v>
      </c>
      <c r="O83" s="26" t="n">
        <v>14968.63769999647</v>
      </c>
      <c r="P83" s="22" t="inlineStr">
        <is>
          <t>hybrid</t>
        </is>
      </c>
      <c r="Q83" s="22" t="inlineStr">
        <is>
          <t>xlmr</t>
        </is>
      </c>
      <c r="R83" s="22" t="inlineStr">
        <is>
          <t>D:\GitHub\QA_system\models\reader\xlm-roberta-large-viquad</t>
        </is>
      </c>
    </row>
    <row r="84" ht="72" customHeight="1">
      <c r="A84" s="22" t="n">
        <v>83</v>
      </c>
      <c r="B84" s="22" t="inlineStr">
        <is>
          <t>0017-0015-0003</t>
        </is>
      </c>
      <c r="C84" s="23" t="inlineStr">
        <is>
          <t>Roosevelt đã hàn gắn rào cản cách biệt với Đảng Dân chủ như thế nào?</t>
        </is>
      </c>
      <c r="D84" s="23" t="inlineStr">
        <is>
          <t>giúp Alfred E. Smith đắc cử thống đốc tiểu bang New York năm 1922, và thậm chí ông còn là một người ủng hộ tích cực cho Smith chống lại người cháu họ của mình là đảng viên Cộng hòa Theodore Roosevelt, Jr. năm 1924</t>
        </is>
      </c>
      <c r="E84" s="23" t="inlineStr">
        <is>
          <t>Roosevelt duy trì liên lạc và hàn gắn rào cản cách biệt với Đảng Dân chủ trong suốt thập niên 1920, đặc biệt là tại New York</t>
        </is>
      </c>
      <c r="F84" s="22" t="n">
        <v>0</v>
      </c>
      <c r="G84" s="24" t="n">
        <v>0.1666666666666667</v>
      </c>
      <c r="H84" s="22" t="b">
        <v>1</v>
      </c>
      <c r="I84" s="22" t="inlineStr">
        <is>
          <t>DEFINITION</t>
        </is>
      </c>
      <c r="J84" s="22" t="inlineStr">
        <is>
          <t>neural_span</t>
        </is>
      </c>
      <c r="K84" s="22" t="b">
        <v>1</v>
      </c>
      <c r="L84" s="25" t="n">
        <v>0.695804</v>
      </c>
      <c r="M84" s="25" t="n">
        <v>0.802482</v>
      </c>
      <c r="N84" s="25" t="n">
        <v>0.85</v>
      </c>
      <c r="O84" s="26" t="n">
        <v>14613.15519999724</v>
      </c>
      <c r="P84" s="22" t="inlineStr">
        <is>
          <t>hybrid</t>
        </is>
      </c>
      <c r="Q84" s="22" t="inlineStr">
        <is>
          <t>xlmr</t>
        </is>
      </c>
      <c r="R84" s="22" t="inlineStr">
        <is>
          <t>D:\GitHub\QA_system\models\reader\xlm-roberta-large-viquad</t>
        </is>
      </c>
    </row>
    <row r="85" ht="34" customHeight="1">
      <c r="A85" s="22" t="n">
        <v>84</v>
      </c>
      <c r="B85" s="22" t="inlineStr">
        <is>
          <t>0009-0009-0002</t>
        </is>
      </c>
      <c r="C85" s="23" t="inlineStr">
        <is>
          <t>Mitterand đánh giá như thế nào về Masson?</t>
        </is>
      </c>
      <c r="D85" s="23" t="inlineStr">
        <is>
          <t>Masson không có quyền tuyên bố thay mặt các tù binh chiến tranh</t>
        </is>
      </c>
      <c r="E85" s="23" t="inlineStr">
        <is>
          <t>không có quyền tuyên bố thay mặt các tù binh chiến tranh</t>
        </is>
      </c>
      <c r="F85" s="22" t="n">
        <v>0</v>
      </c>
      <c r="G85" s="24" t="n">
        <v>0.9600000000000001</v>
      </c>
      <c r="H85" s="22" t="b">
        <v>1</v>
      </c>
      <c r="I85" s="22" t="inlineStr">
        <is>
          <t>DEFINITION</t>
        </is>
      </c>
      <c r="J85" s="22" t="inlineStr">
        <is>
          <t>neural_span</t>
        </is>
      </c>
      <c r="K85" s="22" t="b">
        <v>1</v>
      </c>
      <c r="L85" s="25" t="n">
        <v>0.757046</v>
      </c>
      <c r="M85" s="25" t="n">
        <v>0.629141</v>
      </c>
      <c r="N85" s="25" t="n">
        <v>0.9</v>
      </c>
      <c r="O85" s="26" t="n">
        <v>15942.76539999794</v>
      </c>
      <c r="P85" s="22" t="inlineStr">
        <is>
          <t>hybrid</t>
        </is>
      </c>
      <c r="Q85" s="22" t="inlineStr">
        <is>
          <t>xlmr</t>
        </is>
      </c>
      <c r="R85" s="22" t="inlineStr">
        <is>
          <t>D:\GitHub\QA_system\models\reader\xlm-roberta-large-viquad</t>
        </is>
      </c>
    </row>
    <row r="86" ht="34" customHeight="1">
      <c r="A86" s="22" t="n">
        <v>85</v>
      </c>
      <c r="B86" s="22" t="inlineStr">
        <is>
          <t>0015-0014-0003</t>
        </is>
      </c>
      <c r="C86" s="23" t="inlineStr">
        <is>
          <t>Kết quả dành cho những người lãnh đạo Mông Cổ không chịu thi hành khủng bố Nga theo lệnh người Mông Cổ là gì?</t>
        </is>
      </c>
      <c r="D86" s="23" t="inlineStr"/>
      <c r="E86" s="23" t="inlineStr">
        <is>
          <t>hành quyết</t>
        </is>
      </c>
      <c r="F86" s="22" t="n">
        <v>0</v>
      </c>
      <c r="G86" s="24" t="n">
        <v>0</v>
      </c>
      <c r="H86" s="22" t="b">
        <v>0</v>
      </c>
      <c r="I86" s="22" t="inlineStr">
        <is>
          <t>GENERAL</t>
        </is>
      </c>
      <c r="J86" s="22" t="inlineStr">
        <is>
          <t>neural_span</t>
        </is>
      </c>
      <c r="K86" s="22" t="n"/>
      <c r="L86" s="25" t="n">
        <v>0.322434</v>
      </c>
      <c r="M86" s="25" t="n">
        <v>0.5434600000000001</v>
      </c>
      <c r="N86" s="25" t="n">
        <v>0.5</v>
      </c>
      <c r="O86" s="26" t="n">
        <v>15289.09750000143</v>
      </c>
      <c r="P86" s="22" t="inlineStr">
        <is>
          <t>hybrid</t>
        </is>
      </c>
      <c r="Q86" s="22" t="inlineStr">
        <is>
          <t>xlmr</t>
        </is>
      </c>
      <c r="R86" s="22" t="inlineStr">
        <is>
          <t>D:\GitHub\QA_system\models\reader\xlm-roberta-large-viquad</t>
        </is>
      </c>
    </row>
    <row r="87" ht="24" customHeight="1">
      <c r="A87" s="22" t="n">
        <v>86</v>
      </c>
      <c r="B87" s="22" t="inlineStr">
        <is>
          <t>0005-0007-0001</t>
        </is>
      </c>
      <c r="C87" s="23" t="inlineStr">
        <is>
          <t>Hồng Công là thuộc địa của đế quốc nào ở thế kỷ 20?</t>
        </is>
      </c>
      <c r="D87" s="23" t="inlineStr">
        <is>
          <t>Anh</t>
        </is>
      </c>
      <c r="E87" s="23" t="inlineStr">
        <is>
          <t>thế kỷ XVII</t>
        </is>
      </c>
      <c r="F87" s="22" t="n">
        <v>0</v>
      </c>
      <c r="G87" s="24" t="n">
        <v>0</v>
      </c>
      <c r="H87" s="22" t="b">
        <v>1</v>
      </c>
      <c r="I87" s="22" t="inlineStr">
        <is>
          <t>LOCATION</t>
        </is>
      </c>
      <c r="J87" s="22" t="inlineStr">
        <is>
          <t>phrase_fallback</t>
        </is>
      </c>
      <c r="K87" s="22" t="b">
        <v>1</v>
      </c>
      <c r="L87" s="25" t="n">
        <v>0.7</v>
      </c>
      <c r="M87" s="25" t="n">
        <v>0.749597</v>
      </c>
      <c r="N87" s="25" t="n">
        <v>1</v>
      </c>
      <c r="O87" s="26" t="n">
        <v>14807.19230000116</v>
      </c>
      <c r="P87" s="22" t="inlineStr">
        <is>
          <t>hybrid</t>
        </is>
      </c>
      <c r="Q87" s="22" t="inlineStr">
        <is>
          <t>xlmr</t>
        </is>
      </c>
      <c r="R87" s="22" t="inlineStr">
        <is>
          <t>D:\GitHub\QA_system\models\reader\xlm-roberta-large-viquad</t>
        </is>
      </c>
    </row>
    <row r="88" ht="34" customHeight="1">
      <c r="A88" s="22" t="n">
        <v>87</v>
      </c>
      <c r="B88" s="22" t="inlineStr">
        <is>
          <t>0004-0023-0003</t>
        </is>
      </c>
      <c r="C88" s="23" t="inlineStr">
        <is>
          <t>Để đổi lại sự không can thiệp của Israel vào cuộc chiến, Mỹ đã có thỏa thuận gì với nước này?</t>
        </is>
      </c>
      <c r="D88" s="23" t="inlineStr">
        <is>
          <t>tăng cường viện trợ</t>
        </is>
      </c>
      <c r="E88" s="23" t="inlineStr">
        <is>
          <t>thỏa thuận hạt nhân</t>
        </is>
      </c>
      <c r="F88" s="22" t="n">
        <v>0</v>
      </c>
      <c r="G88" s="24" t="n">
        <v>0</v>
      </c>
      <c r="H88" s="22" t="b">
        <v>1</v>
      </c>
      <c r="I88" s="22" t="inlineStr">
        <is>
          <t>DEFINITION</t>
        </is>
      </c>
      <c r="J88" s="22" t="inlineStr">
        <is>
          <t>neural_span</t>
        </is>
      </c>
      <c r="K88" s="22" t="b">
        <v>0</v>
      </c>
      <c r="L88" s="25" t="n">
        <v>0.412488</v>
      </c>
      <c r="M88" s="25" t="n">
        <v>0.637493</v>
      </c>
      <c r="N88" s="25" t="n">
        <v>0.9</v>
      </c>
      <c r="O88" s="26" t="n">
        <v>16569.80889999785</v>
      </c>
      <c r="P88" s="22" t="inlineStr">
        <is>
          <t>hybrid</t>
        </is>
      </c>
      <c r="Q88" s="22" t="inlineStr">
        <is>
          <t>xlmr</t>
        </is>
      </c>
      <c r="R88" s="22" t="inlineStr">
        <is>
          <t>D:\GitHub\QA_system\models\reader\xlm-roberta-large-viquad</t>
        </is>
      </c>
    </row>
    <row r="89" ht="34" customHeight="1">
      <c r="A89" s="22" t="n">
        <v>88</v>
      </c>
      <c r="B89" s="22" t="inlineStr">
        <is>
          <t>0006-0016-0001</t>
        </is>
      </c>
      <c r="C89" s="23" t="inlineStr">
        <is>
          <t>Điểm nào ở các nước Puerto Rico khác hấp dẫn các nhà đầu tư nước ngòai hơn Mỹ Latinh?</t>
        </is>
      </c>
      <c r="D89" s="23" t="inlineStr"/>
      <c r="E89" s="23" t="inlineStr">
        <is>
          <t>cộng đồng người gốc châu Á với các sắc dân Trung Quốc, Liban</t>
        </is>
      </c>
      <c r="F89" s="22" t="n">
        <v>0</v>
      </c>
      <c r="G89" s="24" t="n">
        <v>0</v>
      </c>
      <c r="H89" s="22" t="b">
        <v>0</v>
      </c>
      <c r="I89" s="22" t="inlineStr">
        <is>
          <t>DEFINITION</t>
        </is>
      </c>
      <c r="J89" s="22" t="inlineStr">
        <is>
          <t>neural_span</t>
        </is>
      </c>
      <c r="K89" s="22" t="n"/>
      <c r="L89" s="25" t="n">
        <v>0.5204569999999999</v>
      </c>
      <c r="M89" s="25" t="n">
        <v>0.6972739999999999</v>
      </c>
      <c r="N89" s="25" t="n">
        <v>0.85</v>
      </c>
      <c r="O89" s="26" t="n">
        <v>16187.37809999951</v>
      </c>
      <c r="P89" s="22" t="inlineStr">
        <is>
          <t>hybrid</t>
        </is>
      </c>
      <c r="Q89" s="22" t="inlineStr">
        <is>
          <t>xlmr</t>
        </is>
      </c>
      <c r="R89" s="22" t="inlineStr">
        <is>
          <t>D:\GitHub\QA_system\models\reader\xlm-roberta-large-viquad</t>
        </is>
      </c>
    </row>
    <row r="90" ht="34" customHeight="1">
      <c r="A90" s="22" t="n">
        <v>89</v>
      </c>
      <c r="B90" s="22" t="inlineStr">
        <is>
          <t>0012-0013-0004</t>
        </is>
      </c>
      <c r="C90" s="23" t="inlineStr">
        <is>
          <t>Những việc hủ nát theo Gandhi là những gì?</t>
        </is>
      </c>
      <c r="D90" s="23" t="inlineStr">
        <is>
          <t>phân biệt tiện dân, bắt phụ nữ mang khăn che và áp chế họ</t>
        </is>
      </c>
      <c r="E90" s="23" t="inlineStr">
        <is>
          <t>phân biệt tiện dân, bắt phụ nữ mang khăn che</t>
        </is>
      </c>
      <c r="F90" s="22" t="n">
        <v>0</v>
      </c>
      <c r="G90" s="24" t="n">
        <v>0.8333333333333333</v>
      </c>
      <c r="H90" s="22" t="b">
        <v>1</v>
      </c>
      <c r="I90" s="22" t="inlineStr">
        <is>
          <t>PERSON</t>
        </is>
      </c>
      <c r="J90" s="22" t="inlineStr">
        <is>
          <t>neural_span</t>
        </is>
      </c>
      <c r="K90" s="22" t="b">
        <v>1</v>
      </c>
      <c r="L90" s="25" t="n">
        <v>0.686447</v>
      </c>
      <c r="M90" s="25" t="n">
        <v>0.766868</v>
      </c>
      <c r="N90" s="25" t="n">
        <v>0.55</v>
      </c>
      <c r="O90" s="26" t="n">
        <v>14603.25700000394</v>
      </c>
      <c r="P90" s="22" t="inlineStr">
        <is>
          <t>hybrid</t>
        </is>
      </c>
      <c r="Q90" s="22" t="inlineStr">
        <is>
          <t>xlmr</t>
        </is>
      </c>
      <c r="R90" s="22" t="inlineStr">
        <is>
          <t>D:\GitHub\QA_system\models\reader\xlm-roberta-large-viquad</t>
        </is>
      </c>
    </row>
    <row r="91" ht="24" customHeight="1">
      <c r="A91" s="22" t="n">
        <v>90</v>
      </c>
      <c r="B91" s="22" t="inlineStr">
        <is>
          <t>0017-0059-0002</t>
        </is>
      </c>
      <c r="C91" s="23" t="inlineStr">
        <is>
          <t>Ai là người Roosevelt lựa chọn để thay thế cho Wallace?</t>
        </is>
      </c>
      <c r="D91" s="23" t="inlineStr">
        <is>
          <t>Harry S. Truman</t>
        </is>
      </c>
      <c r="E91" s="23" t="inlineStr">
        <is>
          <t>Harry S. Truman</t>
        </is>
      </c>
      <c r="F91" s="22" t="n">
        <v>1</v>
      </c>
      <c r="G91" s="24" t="n">
        <v>1</v>
      </c>
      <c r="H91" s="22" t="b">
        <v>1</v>
      </c>
      <c r="I91" s="22" t="inlineStr">
        <is>
          <t>DEFINITION</t>
        </is>
      </c>
      <c r="J91" s="22" t="inlineStr">
        <is>
          <t>neural_span</t>
        </is>
      </c>
      <c r="K91" s="22" t="b">
        <v>1</v>
      </c>
      <c r="L91" s="25" t="n">
        <v>0.840878</v>
      </c>
      <c r="M91" s="25" t="n">
        <v>0.899527</v>
      </c>
      <c r="N91" s="25" t="n">
        <v>0.95</v>
      </c>
      <c r="O91" s="26" t="n">
        <v>25211.9777999979</v>
      </c>
      <c r="P91" s="22" t="inlineStr">
        <is>
          <t>hybrid</t>
        </is>
      </c>
      <c r="Q91" s="22" t="inlineStr">
        <is>
          <t>xlmr</t>
        </is>
      </c>
      <c r="R91" s="22" t="inlineStr">
        <is>
          <t>D:\GitHub\QA_system\models\reader\xlm-roberta-large-viquad</t>
        </is>
      </c>
    </row>
    <row r="92" ht="24" customHeight="1">
      <c r="A92" s="22" t="n">
        <v>91</v>
      </c>
      <c r="B92" s="22" t="inlineStr">
        <is>
          <t>0018-0002-0005</t>
        </is>
      </c>
      <c r="C92" s="23" t="inlineStr">
        <is>
          <t>Năm 1962, sự kiện nào gì đáng chú ý nhất diễn ra tại Uganda?</t>
        </is>
      </c>
      <c r="D92" s="23" t="inlineStr">
        <is>
          <t>Uganda giành được độc lập từ Anh</t>
        </is>
      </c>
      <c r="E92" s="23" t="inlineStr"/>
      <c r="F92" s="22" t="n">
        <v>0</v>
      </c>
      <c r="G92" s="24" t="n">
        <v>0</v>
      </c>
      <c r="H92" s="22" t="b">
        <v>1</v>
      </c>
      <c r="I92" s="22" t="inlineStr">
        <is>
          <t>LOCATION</t>
        </is>
      </c>
      <c r="J92" s="22" t="inlineStr">
        <is>
          <t>no_answer</t>
        </is>
      </c>
      <c r="K92" s="22" t="b">
        <v>1</v>
      </c>
      <c r="L92" s="25" t="n">
        <v>0</v>
      </c>
      <c r="M92" s="25" t="n">
        <v>0.3762315523978493</v>
      </c>
      <c r="N92" s="25" t="n">
        <v>0.22</v>
      </c>
      <c r="O92" s="26" t="n">
        <v>47539.69680000149</v>
      </c>
      <c r="P92" s="22" t="inlineStr">
        <is>
          <t>hybrid</t>
        </is>
      </c>
      <c r="Q92" s="22" t="inlineStr">
        <is>
          <t>xlmr</t>
        </is>
      </c>
      <c r="R92" s="22" t="inlineStr">
        <is>
          <t>D:\GitHub\QA_system\models\reader\xlm-roberta-large-viquad</t>
        </is>
      </c>
    </row>
    <row r="93" ht="34" customHeight="1">
      <c r="A93" s="22" t="n">
        <v>92</v>
      </c>
      <c r="B93" s="22" t="inlineStr">
        <is>
          <t>0003-0006-0001</t>
        </is>
      </c>
      <c r="C93" s="23" t="inlineStr">
        <is>
          <t>Để ngăn chặn sự phản kháng của Mười ba thuộc địa, Tân Pháp đã làm gì?</t>
        </is>
      </c>
      <c r="D93" s="23" t="inlineStr"/>
      <c r="E93" s="23" t="inlineStr"/>
      <c r="F93" s="22" t="n">
        <v>1</v>
      </c>
      <c r="G93" s="24" t="n">
        <v>1</v>
      </c>
      <c r="H93" s="22" t="b">
        <v>0</v>
      </c>
      <c r="I93" s="22" t="inlineStr">
        <is>
          <t>LOCATION</t>
        </is>
      </c>
      <c r="J93" s="22" t="inlineStr">
        <is>
          <t>no_answer</t>
        </is>
      </c>
      <c r="K93" s="22" t="n"/>
      <c r="L93" s="25" t="n">
        <v>0</v>
      </c>
      <c r="M93" s="25" t="n">
        <v>0.5039308149999999</v>
      </c>
      <c r="N93" s="25" t="n">
        <v>0.85</v>
      </c>
      <c r="O93" s="26" t="n">
        <v>49408.47529999469</v>
      </c>
      <c r="P93" s="22" t="inlineStr">
        <is>
          <t>hybrid</t>
        </is>
      </c>
      <c r="Q93" s="22" t="inlineStr">
        <is>
          <t>xlmr</t>
        </is>
      </c>
      <c r="R93" s="22" t="inlineStr">
        <is>
          <t>D:\GitHub\QA_system\models\reader\xlm-roberta-large-viquad</t>
        </is>
      </c>
    </row>
    <row r="94" ht="34" customHeight="1">
      <c r="A94" s="22" t="n">
        <v>93</v>
      </c>
      <c r="B94" s="22" t="inlineStr">
        <is>
          <t>0015-0040-0003</t>
        </is>
      </c>
      <c r="C94" s="23" t="inlineStr">
        <is>
          <t>Nếu được xếp hạng 1 trong bảng xếp hạng môi trường báo chí thì điều đó đồng nghĩa với điều gì đối với ngành báo chí?</t>
        </is>
      </c>
      <c r="D94" s="23" t="inlineStr">
        <is>
          <t>tự do nhất</t>
        </is>
      </c>
      <c r="E94" s="23" t="inlineStr">
        <is>
          <t>tự do nhất</t>
        </is>
      </c>
      <c r="F94" s="22" t="n">
        <v>1</v>
      </c>
      <c r="G94" s="24" t="n">
        <v>1</v>
      </c>
      <c r="H94" s="22" t="b">
        <v>1</v>
      </c>
      <c r="I94" s="22" t="inlineStr">
        <is>
          <t>DEFINITION</t>
        </is>
      </c>
      <c r="J94" s="22" t="inlineStr">
        <is>
          <t>neural_span</t>
        </is>
      </c>
      <c r="K94" s="22" t="b">
        <v>1</v>
      </c>
      <c r="L94" s="25" t="n">
        <v>0.740556</v>
      </c>
      <c r="M94" s="25" t="n">
        <v>0.829334</v>
      </c>
      <c r="N94" s="25" t="n">
        <v>0.85</v>
      </c>
      <c r="O94" s="26" t="n">
        <v>50388.43559999968</v>
      </c>
      <c r="P94" s="22" t="inlineStr">
        <is>
          <t>hybrid</t>
        </is>
      </c>
      <c r="Q94" s="22" t="inlineStr">
        <is>
          <t>xlmr</t>
        </is>
      </c>
      <c r="R94" s="22" t="inlineStr">
        <is>
          <t>D:\GitHub\QA_system\models\reader\xlm-roberta-large-viquad</t>
        </is>
      </c>
    </row>
    <row r="95" ht="34" customHeight="1">
      <c r="A95" s="22" t="n">
        <v>94</v>
      </c>
      <c r="B95" s="22" t="inlineStr">
        <is>
          <t>0007-0012-0003</t>
        </is>
      </c>
      <c r="C95" s="23" t="inlineStr">
        <is>
          <t>Tổng thống Saakashvili đệ trình lên yêu sách hòa bình vào năm nào?</t>
        </is>
      </c>
      <c r="D95" s="23" t="inlineStr">
        <is>
          <t>2005</t>
        </is>
      </c>
      <c r="E95" s="23" t="inlineStr">
        <is>
          <t>năm 2005</t>
        </is>
      </c>
      <c r="F95" s="22" t="n">
        <v>0</v>
      </c>
      <c r="G95" s="24" t="n">
        <v>0.6666666666666666</v>
      </c>
      <c r="H95" s="22" t="b">
        <v>1</v>
      </c>
      <c r="I95" s="22" t="inlineStr">
        <is>
          <t>PERSON</t>
        </is>
      </c>
      <c r="J95" s="22" t="inlineStr">
        <is>
          <t>neural_span</t>
        </is>
      </c>
      <c r="K95" s="22" t="b">
        <v>1</v>
      </c>
      <c r="L95" s="25" t="n">
        <v>0.6312680000000001</v>
      </c>
      <c r="M95" s="25" t="n">
        <v>0.748761</v>
      </c>
      <c r="N95" s="25" t="n">
        <v>0.7</v>
      </c>
      <c r="O95" s="26" t="n">
        <v>25226.08750000061</v>
      </c>
      <c r="P95" s="22" t="inlineStr">
        <is>
          <t>hybrid</t>
        </is>
      </c>
      <c r="Q95" s="22" t="inlineStr">
        <is>
          <t>xlmr</t>
        </is>
      </c>
      <c r="R95" s="22" t="inlineStr">
        <is>
          <t>D:\GitHub\QA_system\models\reader\xlm-roberta-large-viquad</t>
        </is>
      </c>
    </row>
    <row r="96" ht="24" customHeight="1">
      <c r="A96" s="22" t="n">
        <v>95</v>
      </c>
      <c r="B96" s="22" t="inlineStr">
        <is>
          <t>0015-0032-0007</t>
        </is>
      </c>
      <c r="C96" s="23" t="inlineStr">
        <is>
          <t>Các ngôn ngữ nào được sử dụng tại phía tây Nga?</t>
        </is>
      </c>
      <c r="D96" s="23" t="inlineStr"/>
      <c r="E96" s="23" t="inlineStr">
        <is>
          <t>tiếng Kazakh và tiếng Tuva</t>
        </is>
      </c>
      <c r="F96" s="22" t="n">
        <v>0</v>
      </c>
      <c r="G96" s="24" t="n">
        <v>0</v>
      </c>
      <c r="H96" s="22" t="b">
        <v>0</v>
      </c>
      <c r="I96" s="22" t="inlineStr">
        <is>
          <t>GENERAL</t>
        </is>
      </c>
      <c r="J96" s="22" t="inlineStr">
        <is>
          <t>neural_span</t>
        </is>
      </c>
      <c r="K96" s="22" t="n"/>
      <c r="L96" s="25" t="n">
        <v>0.494447</v>
      </c>
      <c r="M96" s="25" t="n">
        <v>0.646668</v>
      </c>
      <c r="N96" s="25" t="n">
        <v>0.5</v>
      </c>
      <c r="O96" s="26" t="n">
        <v>14230.8646000009</v>
      </c>
      <c r="P96" s="22" t="inlineStr">
        <is>
          <t>hybrid</t>
        </is>
      </c>
      <c r="Q96" s="22" t="inlineStr">
        <is>
          <t>xlmr</t>
        </is>
      </c>
      <c r="R96" s="22" t="inlineStr">
        <is>
          <t>D:\GitHub\QA_system\models\reader\xlm-roberta-large-viquad</t>
        </is>
      </c>
    </row>
    <row r="97" ht="34" customHeight="1">
      <c r="A97" s="22" t="n">
        <v>96</v>
      </c>
      <c r="B97" s="22" t="inlineStr">
        <is>
          <t>0012-0024-0006</t>
        </is>
      </c>
      <c r="C97" s="23" t="inlineStr">
        <is>
          <t>Bose phê bình Gandhi vì việc gì?</t>
        </is>
      </c>
      <c r="D97" s="23" t="inlineStr"/>
      <c r="E97" s="23" t="inlineStr">
        <is>
          <t>không thừa nhận nguyên tắc bất bạo lực cũng như dân quyền</t>
        </is>
      </c>
      <c r="F97" s="22" t="n">
        <v>0</v>
      </c>
      <c r="G97" s="24" t="n">
        <v>0</v>
      </c>
      <c r="H97" s="22" t="b">
        <v>0</v>
      </c>
      <c r="I97" s="22" t="inlineStr">
        <is>
          <t>DEFINITION</t>
        </is>
      </c>
      <c r="J97" s="22" t="inlineStr">
        <is>
          <t>neural_span</t>
        </is>
      </c>
      <c r="K97" s="22" t="n"/>
      <c r="L97" s="25" t="n">
        <v>0.284376</v>
      </c>
      <c r="M97" s="25" t="n">
        <v>0.565626</v>
      </c>
      <c r="N97" s="25" t="n">
        <v>0.95</v>
      </c>
      <c r="O97" s="26" t="n">
        <v>13761.30100000167</v>
      </c>
      <c r="P97" s="22" t="inlineStr">
        <is>
          <t>hybrid</t>
        </is>
      </c>
      <c r="Q97" s="22" t="inlineStr">
        <is>
          <t>xlmr</t>
        </is>
      </c>
      <c r="R97" s="22" t="inlineStr">
        <is>
          <t>D:\GitHub\QA_system\models\reader\xlm-roberta-large-viquad</t>
        </is>
      </c>
    </row>
    <row r="98" ht="24" customHeight="1">
      <c r="A98" s="22" t="n">
        <v>97</v>
      </c>
      <c r="B98" s="22" t="inlineStr">
        <is>
          <t>0009-0031-0004</t>
        </is>
      </c>
      <c r="C98" s="23" t="inlineStr">
        <is>
          <t>Quốc gia nào có nỗ lực cao nhất về viện trợ phát triển?</t>
        </is>
      </c>
      <c r="D98" s="23" t="inlineStr">
        <is>
          <t>Pháp</t>
        </is>
      </c>
      <c r="E98" s="23" t="inlineStr">
        <is>
          <t>Pháp</t>
        </is>
      </c>
      <c r="F98" s="22" t="n">
        <v>1</v>
      </c>
      <c r="G98" s="24" t="n">
        <v>1</v>
      </c>
      <c r="H98" s="22" t="b">
        <v>1</v>
      </c>
      <c r="I98" s="22" t="inlineStr">
        <is>
          <t>DEFINITION</t>
        </is>
      </c>
      <c r="J98" s="22" t="inlineStr">
        <is>
          <t>neural_span</t>
        </is>
      </c>
      <c r="K98" s="22" t="b">
        <v>1</v>
      </c>
      <c r="L98" s="25" t="n">
        <v>0.750867</v>
      </c>
      <c r="M98" s="25" t="n">
        <v>0.69528</v>
      </c>
      <c r="N98" s="25" t="n">
        <v>0.6</v>
      </c>
      <c r="O98" s="26" t="n">
        <v>14553.39030000096</v>
      </c>
      <c r="P98" s="22" t="inlineStr">
        <is>
          <t>hybrid</t>
        </is>
      </c>
      <c r="Q98" s="22" t="inlineStr">
        <is>
          <t>xlmr</t>
        </is>
      </c>
      <c r="R98" s="22" t="inlineStr">
        <is>
          <t>D:\GitHub\QA_system\models\reader\xlm-roberta-large-viquad</t>
        </is>
      </c>
    </row>
    <row r="99" ht="34" customHeight="1">
      <c r="A99" s="22" t="n">
        <v>98</v>
      </c>
      <c r="B99" s="22" t="inlineStr">
        <is>
          <t>0004-0043-0004</t>
        </is>
      </c>
      <c r="C99" s="23" t="inlineStr">
        <is>
          <t>Quốc gia nào đã tham gia cùng với Mỹ trong cuộc xâm chiếm Iraq năm 2003?</t>
        </is>
      </c>
      <c r="D99" s="23" t="inlineStr">
        <is>
          <t>Anh</t>
        </is>
      </c>
      <c r="E99" s="23" t="inlineStr">
        <is>
          <t>Ả Rập Xê Út</t>
        </is>
      </c>
      <c r="F99" s="22" t="n">
        <v>0</v>
      </c>
      <c r="G99" s="24" t="n">
        <v>0</v>
      </c>
      <c r="H99" s="22" t="b">
        <v>1</v>
      </c>
      <c r="I99" s="22" t="inlineStr">
        <is>
          <t>DEFINITION</t>
        </is>
      </c>
      <c r="J99" s="22" t="inlineStr">
        <is>
          <t>neural_span</t>
        </is>
      </c>
      <c r="K99" s="22" t="b">
        <v>1</v>
      </c>
      <c r="L99" s="25" t="n">
        <v>0.627432</v>
      </c>
      <c r="M99" s="25" t="n">
        <v>0.69945</v>
      </c>
      <c r="N99" s="25" t="n">
        <v>0.85</v>
      </c>
      <c r="O99" s="26" t="n">
        <v>42971.00359999883</v>
      </c>
      <c r="P99" s="22" t="inlineStr">
        <is>
          <t>hybrid</t>
        </is>
      </c>
      <c r="Q99" s="22" t="inlineStr">
        <is>
          <t>xlmr</t>
        </is>
      </c>
      <c r="R99" s="22" t="inlineStr">
        <is>
          <t>D:\GitHub\QA_system\models\reader\xlm-roberta-large-viquad</t>
        </is>
      </c>
    </row>
    <row r="100" ht="47" customHeight="1">
      <c r="A100" s="22" t="n">
        <v>99</v>
      </c>
      <c r="B100" s="22" t="inlineStr">
        <is>
          <t>0002-0005-0001</t>
        </is>
      </c>
      <c r="C100" s="23" t="inlineStr">
        <is>
          <t>Tất cả những đạo luật được Nouvelle-Calédonie thông qua trong năm 1876-1988 đều tạo nên điều gì?</t>
        </is>
      </c>
      <c r="D100" s="23" t="inlineStr">
        <is>
          <t>bất mãn và hỗn lọan nghiêm trọng</t>
        </is>
      </c>
      <c r="E100" s="23" t="inlineStr">
        <is>
          <t>gây nên bất mãn và hỗn lọan nghiêm trọng, đỉnh điểm là vào năm 1988 khi xảy ra cuộc bắt cóc con tin đẫm máu tại Ouvéa</t>
        </is>
      </c>
      <c r="F100" s="22" t="n">
        <v>0</v>
      </c>
      <c r="G100" s="24" t="n">
        <v>0.4117647058823529</v>
      </c>
      <c r="H100" s="22" t="b">
        <v>1</v>
      </c>
      <c r="I100" s="22" t="inlineStr">
        <is>
          <t>GENERAL</t>
        </is>
      </c>
      <c r="J100" s="22" t="inlineStr">
        <is>
          <t>neural_span</t>
        </is>
      </c>
      <c r="K100" s="22" t="b">
        <v>1</v>
      </c>
      <c r="L100" s="25" t="n">
        <v>0.736386</v>
      </c>
      <c r="M100" s="25" t="n">
        <v>0.791832</v>
      </c>
      <c r="N100" s="25" t="n">
        <v>0.5</v>
      </c>
      <c r="O100" s="26" t="n">
        <v>45131.94599999394</v>
      </c>
      <c r="P100" s="22" t="inlineStr">
        <is>
          <t>hybrid</t>
        </is>
      </c>
      <c r="Q100" s="22" t="inlineStr">
        <is>
          <t>xlmr</t>
        </is>
      </c>
      <c r="R100" s="22" t="inlineStr">
        <is>
          <t>D:\GitHub\QA_system\models\reader\xlm-roberta-large-viquad</t>
        </is>
      </c>
    </row>
    <row r="101" ht="24" customHeight="1">
      <c r="A101" s="22" t="n">
        <v>100</v>
      </c>
      <c r="B101" s="22" t="inlineStr">
        <is>
          <t>0006-0005-0009</t>
        </is>
      </c>
      <c r="C101" s="23" t="inlineStr">
        <is>
          <t>Những người bản địa Puerto Rico gọi lãnh thổ của họ là gì?</t>
        </is>
      </c>
      <c r="D101" s="23" t="inlineStr">
        <is>
          <t>Borikén</t>
        </is>
      </c>
      <c r="E101" s="23" t="inlineStr">
        <is>
          <t>người Taino</t>
        </is>
      </c>
      <c r="F101" s="22" t="n">
        <v>0</v>
      </c>
      <c r="G101" s="24" t="n">
        <v>0</v>
      </c>
      <c r="H101" s="22" t="b">
        <v>1</v>
      </c>
      <c r="I101" s="22" t="inlineStr">
        <is>
          <t>DEFINITION</t>
        </is>
      </c>
      <c r="J101" s="22" t="inlineStr">
        <is>
          <t>neural_span</t>
        </is>
      </c>
      <c r="K101" s="22" t="b">
        <v>1</v>
      </c>
      <c r="L101" s="25" t="n">
        <v>0.581549</v>
      </c>
      <c r="M101" s="25" t="n">
        <v>0.708929</v>
      </c>
      <c r="N101" s="25" t="n">
        <v>0.6</v>
      </c>
      <c r="O101" s="26" t="n">
        <v>23217.05530000047</v>
      </c>
      <c r="P101" s="22" t="inlineStr">
        <is>
          <t>hybrid</t>
        </is>
      </c>
      <c r="Q101" s="22" t="inlineStr">
        <is>
          <t>xlmr</t>
        </is>
      </c>
      <c r="R101" s="22" t="inlineStr">
        <is>
          <t>D:\GitHub\QA_system\models\reader\xlm-roberta-large-viquad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2026-08-19T05:01:22Z</dcterms:created>
  <dcterms:modified xsi:type="dcterms:W3CDTF">2026-08-19T05:01:22Z</dcterms:modified>
</cp:coreProperties>
</file>